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pin Rawat\Desktop\AAA\Course Details\"/>
    </mc:Choice>
  </mc:AlternateContent>
  <xr:revisionPtr revIDLastSave="0" documentId="8_{34323B8A-2B99-4FE0-9846-3482EC48069F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Program Overview" sheetId="1" r:id="rId1"/>
    <sheet name="Tool Hour Allocation" sheetId="2" r:id="rId2"/>
    <sheet name="BA Core – 12 Week Plan" sheetId="3" r:id="rId3"/>
    <sheet name="Day-Wise Sessions (BA Core)" sheetId="4" r:id="rId4"/>
    <sheet name="DA Add-On Track (6–8 Hrs)" sheetId="5" r:id="rId5"/>
    <sheet name="Assignments &amp; Assessments" sheetId="6" r:id="rId6"/>
    <sheet name="Project 1 – MIS Dashboard" sheetId="7" r:id="rId7"/>
    <sheet name="Project 2 – Capstone Project" sheetId="8" r:id="rId8"/>
    <sheet name="Skill Outcome Matrix" sheetId="9" r:id="rId9"/>
    <sheet name="Trainer Notes &amp; Guidelines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8" l="1"/>
  <c r="B36" i="8"/>
  <c r="B35" i="8"/>
  <c r="B27" i="7"/>
  <c r="B18" i="2"/>
  <c r="C17" i="2"/>
  <c r="C16" i="2"/>
  <c r="C15" i="2"/>
  <c r="C14" i="2"/>
  <c r="B10" i="2"/>
  <c r="C9" i="2"/>
  <c r="C8" i="2"/>
  <c r="C7" i="2"/>
  <c r="C6" i="2"/>
  <c r="C5" i="2"/>
  <c r="C4" i="2"/>
  <c r="C10" i="2" l="1"/>
  <c r="C18" i="2"/>
</calcChain>
</file>

<file path=xl/sharedStrings.xml><?xml version="1.0" encoding="utf-8"?>
<sst xmlns="http://schemas.openxmlformats.org/spreadsheetml/2006/main" count="1173" uniqueCount="861">
  <si>
    <t>DATA ANALYTICS PROGRAM — COMPLETE CURRICULUM PLAN</t>
  </si>
  <si>
    <t>Corrected Structure: 72-Hour BA Core Track + 6–8 Hour Data Analytics Add-On Track</t>
  </si>
  <si>
    <t>PROGRAM ARCHITECTURE — TWO TRACKS</t>
  </si>
  <si>
    <t>BA CORE TRACK (Primary)</t>
  </si>
  <si>
    <t>DATA ANALYTICS ADD-ON (Extra)</t>
  </si>
  <si>
    <t>Total Hours</t>
  </si>
  <si>
    <t>72 Hours</t>
  </si>
  <si>
    <t>6–8 Hours</t>
  </si>
  <si>
    <t>Schedule</t>
  </si>
  <si>
    <t>Wed + Thu + Fri | 2 hrs each | 12 Weeks</t>
  </si>
  <si>
    <t>Additional Weekend / Extra Sessions</t>
  </si>
  <si>
    <t>Weekly Hours</t>
  </si>
  <si>
    <t>6 Hours/week × 12 Weeks = 72 Hours</t>
  </si>
  <si>
    <t>Delivered as add-on after/during course</t>
  </si>
  <si>
    <t>Tools Covered</t>
  </si>
  <si>
    <t>Excel | Adv Excel | Power BI | Tableau | SQL | Python</t>
  </si>
  <si>
    <t>Statistics | Hypothesis Testing | IBM SPSS | AI Analytics</t>
  </si>
  <si>
    <t>Career Target</t>
  </si>
  <si>
    <t>60% Data Analyst | 40% MIS Executive</t>
  </si>
  <si>
    <t>Enhances Data Analyst profile</t>
  </si>
  <si>
    <t>Placement Focus</t>
  </si>
  <si>
    <t>Data Analyst, MIS Executive, Reporting Analyst, Jr BI Analyst</t>
  </si>
  <si>
    <t>Statistical Analyst, Research Analyst uplift</t>
  </si>
  <si>
    <t>COURSE FACTS</t>
  </si>
  <si>
    <t>Course Name</t>
  </si>
  <si>
    <t>Data Analytics Program (BA Core Track + DA Add-On)</t>
  </si>
  <si>
    <t>Duration</t>
  </si>
  <si>
    <t>12 Weeks (BA Core) + Additional sessions for DA Add-On</t>
  </si>
  <si>
    <t>Teaching Schedule</t>
  </si>
  <si>
    <t>Wednesday, Thursday, Friday — 2 Hours each session</t>
  </si>
  <si>
    <t>Weekly Hours (Core)</t>
  </si>
  <si>
    <t>6 Hours per week</t>
  </si>
  <si>
    <t>Core Total Hours</t>
  </si>
  <si>
    <t>72 Hours — Business Analyst Core Track</t>
  </si>
  <si>
    <t>DA Add-On Hours</t>
  </si>
  <si>
    <t>6–8 Hours — Data Analytics Add-On (Statistics, Hypothesis Testing, IBM SPSS, AI Analytics)</t>
  </si>
  <si>
    <t>Grand Total</t>
  </si>
  <si>
    <t>78–80 Hours</t>
  </si>
  <si>
    <t>Teaching Approach</t>
  </si>
  <si>
    <t>Practical-first, Project-based, Placement-oriented</t>
  </si>
  <si>
    <t>STUDENT PROFILE &amp; TARGET JOB ROLES</t>
  </si>
  <si>
    <t>Job Role</t>
  </si>
  <si>
    <t>Industry</t>
  </si>
  <si>
    <t>Primary Tools</t>
  </si>
  <si>
    <t>CTC Range (INR)</t>
  </si>
  <si>
    <t>Priority</t>
  </si>
  <si>
    <t>Which Track</t>
  </si>
  <si>
    <t>Data Analyst</t>
  </si>
  <si>
    <t>BFSI / IT / E-comm</t>
  </si>
  <si>
    <t>SQL, Power BI, Python, Excel</t>
  </si>
  <si>
    <t>₹4–8 LPA</t>
  </si>
  <si>
    <t>PRIMARY</t>
  </si>
  <si>
    <t>BA Core + DA Add-On</t>
  </si>
  <si>
    <t>MIS Executive</t>
  </si>
  <si>
    <t>Manufacturing / BFSI / Telecom</t>
  </si>
  <si>
    <t>Excel, Adv Excel, SQL, Power BI</t>
  </si>
  <si>
    <t>₹3–6 LPA</t>
  </si>
  <si>
    <t>BA Core Track</t>
  </si>
  <si>
    <t>Reporting Analyst</t>
  </si>
  <si>
    <t>Healthcare / Retail</t>
  </si>
  <si>
    <t>Power BI, Tableau, Excel, SQL</t>
  </si>
  <si>
    <t>₹4–7 LPA</t>
  </si>
  <si>
    <t>SECONDARY</t>
  </si>
  <si>
    <t>Junior BI Analyst</t>
  </si>
  <si>
    <t>IT / Consulting / BFSI</t>
  </si>
  <si>
    <t>Power BI, Tableau, SQL, DAX</t>
  </si>
  <si>
    <t>₹5–9 LPA</t>
  </si>
  <si>
    <t>Statistical Analyst</t>
  </si>
  <si>
    <t>Research / Healthcare / BFSI</t>
  </si>
  <si>
    <t>Statistics, SPSS, Python</t>
  </si>
  <si>
    <t>₹5–8 LPA</t>
  </si>
  <si>
    <t>ADD-ON</t>
  </si>
  <si>
    <t>DA Add-On Track</t>
  </si>
  <si>
    <t>TOOL-WISE HOUR ALLOCATION — BA CORE (72 HRS) + DA ADD-ON (6–8 HRS)</t>
  </si>
  <si>
    <t>TRACK 1: BA CORE — 72 HOURS (Wed/Thu/Fri × 2hrs × 12 Weeks)</t>
  </si>
  <si>
    <t>Tool / Module</t>
  </si>
  <si>
    <t>Hours Allocated</t>
  </si>
  <si>
    <t>% of 72 Hrs</t>
  </si>
  <si>
    <t>Sessions</t>
  </si>
  <si>
    <t>Career Relevance</t>
  </si>
  <si>
    <t>Key Outcomes</t>
  </si>
  <si>
    <t>Excel &amp; MIS Reporting</t>
  </si>
  <si>
    <t>12</t>
  </si>
  <si>
    <t>6 sessions</t>
  </si>
  <si>
    <t>Very High – MIS Executive core tool</t>
  </si>
  <si>
    <t>CORE – CRITICAL</t>
  </si>
  <si>
    <t>VLOOKUP, Pivot Tables, MIS Dashboards, Data Cleaning</t>
  </si>
  <si>
    <t>Advanced Excel</t>
  </si>
  <si>
    <t>10</t>
  </si>
  <si>
    <t>5 sessions</t>
  </si>
  <si>
    <t>Very High – Automation &amp; Reporting</t>
  </si>
  <si>
    <t>Power Query, Power Pivot, VBA Macros, Dynamic Dashboards</t>
  </si>
  <si>
    <t>SQL</t>
  </si>
  <si>
    <t>16</t>
  </si>
  <si>
    <t>8 sessions</t>
  </si>
  <si>
    <t>Critical – #1 hired DA skill</t>
  </si>
  <si>
    <t>SELECT to Window Functions, CTEs, Interview SQL</t>
  </si>
  <si>
    <t>Power BI</t>
  </si>
  <si>
    <t>Critical – BI Analyst &amp; DA must-have</t>
  </si>
  <si>
    <t>Data Modeling, DAX, Executive Dashboards, Publishing</t>
  </si>
  <si>
    <t>Python for Analytics</t>
  </si>
  <si>
    <t>High – DA differentiation skill</t>
  </si>
  <si>
    <t>CORE – HIGH</t>
  </si>
  <si>
    <t>Python basics, Pandas, NumPy, EDA, Business Scenarios</t>
  </si>
  <si>
    <t>Tableau</t>
  </si>
  <si>
    <t>6</t>
  </si>
  <si>
    <t>3 sessions</t>
  </si>
  <si>
    <t>Medium – BI &amp; Reporting roles</t>
  </si>
  <si>
    <t>CORE – MEDIUM</t>
  </si>
  <si>
    <t>Basic viz, Dashboards, Storytelling, Calculated Fields</t>
  </si>
  <si>
    <t>BA CORE TOTAL</t>
  </si>
  <si>
    <t>36 sessions</t>
  </si>
  <si>
    <t>72 Hours Core Track</t>
  </si>
  <si>
    <t>TRACK 2: DATA ANALYTICS ADD-ON — 6–8 HOURS (Extra Sessions)</t>
  </si>
  <si>
    <t>Topic / Module</t>
  </si>
  <si>
    <t>Hours</t>
  </si>
  <si>
    <t>% of Add-On</t>
  </si>
  <si>
    <t>Descriptive Statistics</t>
  </si>
  <si>
    <t>2</t>
  </si>
  <si>
    <t>1 session</t>
  </si>
  <si>
    <t>High – DA &amp; Research roles</t>
  </si>
  <si>
    <t>HIGH</t>
  </si>
  <si>
    <t>Mean, Median, Mode, Std Dev, IQR, Outliers, Correlation</t>
  </si>
  <si>
    <t>Hypothesis Testing</t>
  </si>
  <si>
    <t>3</t>
  </si>
  <si>
    <t>1.5 sessions</t>
  </si>
  <si>
    <t>High – Business problem framing</t>
  </si>
  <si>
    <t>T-Test, Z-Test, Chi-Square, ANOVA, P-value, Business framing</t>
  </si>
  <si>
    <t>IBM SPSS</t>
  </si>
  <si>
    <t>Exposure – Research/Healthcare</t>
  </si>
  <si>
    <t>EXPOSURE</t>
  </si>
  <si>
    <t>Interface, Data Import, Descriptive Stats, Hypothesis demo</t>
  </si>
  <si>
    <t>AI-Assisted Analytics</t>
  </si>
  <si>
    <t>1</t>
  </si>
  <si>
    <t>0.5 session</t>
  </si>
  <si>
    <t>Growing – all modern DA roles</t>
  </si>
  <si>
    <t>MODERN</t>
  </si>
  <si>
    <t>AI for Excel, SQL, Power BI – prompt engineering for analysts</t>
  </si>
  <si>
    <t>DA ADD-ON TOTAL</t>
  </si>
  <si>
    <t>~4 sessions</t>
  </si>
  <si>
    <t>6–8 Hours Add-On</t>
  </si>
  <si>
    <t>GRAND SUMMARY</t>
  </si>
  <si>
    <t>BA Core Track Total</t>
  </si>
  <si>
    <t>12 Weeks</t>
  </si>
  <si>
    <t>36 sessions (Wed/Thu/Fri)</t>
  </si>
  <si>
    <t>Excel, Adv Excel, SQL, Power BI, Python, Tableau</t>
  </si>
  <si>
    <t>DA Add-On Total</t>
  </si>
  <si>
    <t>~4 extra sessions</t>
  </si>
  <si>
    <t>Weekend / add-on</t>
  </si>
  <si>
    <t>Statistics, Hypothesis Testing, IBM SPSS, AI Analytics</t>
  </si>
  <si>
    <t>PROGRAM GRAND TOTAL</t>
  </si>
  <si>
    <t>~40 sessions</t>
  </si>
  <si>
    <t>Complete Program</t>
  </si>
  <si>
    <t>Full Data Analyst + MIS Executive skill set</t>
  </si>
  <si>
    <t>BA CORE TRACK — 12-WEEK CURRICULUM STRUCTURE (72 HOURS)</t>
  </si>
  <si>
    <t>Schedule: Wednesday + Thursday + Friday | 2 Hours Each | 6 Hours/Week | 36 Total Sessions</t>
  </si>
  <si>
    <t>Week</t>
  </si>
  <si>
    <t>Phase / Theme</t>
  </si>
  <si>
    <t>Tool Focus</t>
  </si>
  <si>
    <t>Wednesday Session</t>
  </si>
  <si>
    <t>Thursday Session</t>
  </si>
  <si>
    <t>Friday Session</t>
  </si>
  <si>
    <t>Hrs</t>
  </si>
  <si>
    <t>Employability Outcome</t>
  </si>
  <si>
    <t>Week 1</t>
  </si>
  <si>
    <t>Excel Foundations</t>
  </si>
  <si>
    <t>Excel</t>
  </si>
  <si>
    <t>Excel interface, Ribbon, Cell references, SUM/COUNT/AVERAGE/IF/IFS/COUNTIF/SUMIF/IFERROR</t>
  </si>
  <si>
    <t>VLOOKUP, HLOOKUP, INDEX, MATCH, INDEX-MATCH combo, XLOOKUP intro, Nested lookups</t>
  </si>
  <si>
    <t>Conditional Formatting (rules/scales/icons), Data Validation, TRIM/CLEAN/LEFT/RIGHT/MID/LEN, Remove duplicates</t>
  </si>
  <si>
    <t>Build MIS-ready Excel workbooks with formulas &amp; cleaned data</t>
  </si>
  <si>
    <t>Week 2</t>
  </si>
  <si>
    <t>Excel Reporting &amp; Dashboards</t>
  </si>
  <si>
    <t>Pivot Tables: field placement, grouping, slicers, calculated fields, refresh, value settings</t>
  </si>
  <si>
    <t>Pivot Charts, Dashboard layout principles, linking charts to slicers, named ranges</t>
  </si>
  <si>
    <t>End-to-End MIS Report: Telecom Monthly Operations — 6-tab workbook with cover, data, pivot, dashboard</t>
  </si>
  <si>
    <t>Independently deliver monthly MIS reports to management</t>
  </si>
  <si>
    <t>Week 3</t>
  </si>
  <si>
    <t>Advanced Excel — Power Tools</t>
  </si>
  <si>
    <t>Power Query: import CSV/Excel/Web, transform, clean, merge, append queries, load to model</t>
  </si>
  <si>
    <t>Power Pivot: data model, relationships, DAX intro (SUMX, CALCULATE, RELATED), measures vs columns</t>
  </si>
  <si>
    <t>Dynamic Dashboards: form controls, named dynamic ranges, OFFSET+COUNTA, dropdown-driven charts</t>
  </si>
  <si>
    <t>Automate data pipelines and build interactive dashboards in Excel</t>
  </si>
  <si>
    <t>Week 4</t>
  </si>
  <si>
    <t>Advanced Excel VBA + SQL Start</t>
  </si>
  <si>
    <t>Adv Excel / SQL</t>
  </si>
  <si>
    <t>VBA Macros: Record, edit macro, Sub procedures, loops, MsgBox, button trigger, auto-format macro</t>
  </si>
  <si>
    <t>SQL Setup (MySQL), SELECT, FROM, WHERE, DISTINCT, ORDER BY, LIMIT, Aliases, ISNULL/COALESCE</t>
  </si>
  <si>
    <t>SQL: Aggregate functions (SUM/COUNT/AVG/MAX/MIN), GROUP BY, HAVING, CASE WHEN — HR dataset</t>
  </si>
  <si>
    <t>Automate Excel reports with VBA; write first data extraction SQL queries</t>
  </si>
  <si>
    <t>Week 5</t>
  </si>
  <si>
    <t>SQL — Core to Intermediate</t>
  </si>
  <si>
    <t>SQL JOINs: INNER, LEFT, RIGHT, FULL OUTER, SELF JOIN — 4-table Banking dataset practice</t>
  </si>
  <si>
    <t>Subqueries: WHERE subquery, FROM derived table, correlated subquery, EXISTS/NOT EXISTS/IN</t>
  </si>
  <si>
    <t>CTEs (Common Table Expressions): WITH clause, multiple CTEs, chaining — Manufacturing dataset</t>
  </si>
  <si>
    <t>Retrieve and combine data from multiple tables for business analysis</t>
  </si>
  <si>
    <t>Week 6</t>
  </si>
  <si>
    <t>SQL — Advanced + Interview Prep</t>
  </si>
  <si>
    <t>Window Functions (Ranking): ROW_NUMBER, RANK, DENSE_RANK, NTILE — E-commerce dataset</t>
  </si>
  <si>
    <t>Window Functions (Analytical): SUM/AVG OVER, LEAD/LAG, FIRST_VALUE/LAST_VALUE, ROWS BETWEEN</t>
  </si>
  <si>
    <t>SQL Interview Scenarios: top-N per group, running totals, MoM growth, deduplication with CTEs</t>
  </si>
  <si>
    <t>Write senior-analyst-level SQL; crack SQL interview questions</t>
  </si>
  <si>
    <t>Week 7</t>
  </si>
  <si>
    <t>Power BI — Foundations</t>
  </si>
  <si>
    <t>Power BI Desktop: interface, data import (Excel/CSV/SQL), Power Query in BI, data types, nulls</t>
  </si>
  <si>
    <t>Data Modeling: star schema, fact/dimension tables, relationships (1:many), active/inactive, cross-filter</t>
  </si>
  <si>
    <t>DAX Basics: calculated columns vs measures, SUM/COUNT/AVERAGE/DISTINCTCOUNT/DIVIDE, RELATED, VAR</t>
  </si>
  <si>
    <t>Build data models and write basic DAX measures in Power BI</t>
  </si>
  <si>
    <t>Week 8</t>
  </si>
  <si>
    <t>Power BI — Advanced DAX</t>
  </si>
  <si>
    <t>DAX Advanced: CALCULATE, FILTER, ALL, ALLEXCEPT, ALLSELECTED — context deep dive with examples</t>
  </si>
  <si>
    <t>Time Intelligence: TOTALYTD, TOTALMTD, TOTALQTD, SAMEPERIODLASTYEAR, DATEADD — Calendar table setup</t>
  </si>
  <si>
    <t>KPI Design: Card, Gauge, KPI visual, Conditional formatting on visuals, Matrix, Drill-through</t>
  </si>
  <si>
    <t>Write advanced DAX for time-based and context-sensitive analysis</t>
  </si>
  <si>
    <t>Week 9</t>
  </si>
  <si>
    <t>Power BI — Executive Dashboards</t>
  </si>
  <si>
    <t>Dashboard features: Bookmarks, Buttons, Sync slicers, Report page tooltips, Mobile layout</t>
  </si>
  <si>
    <t>End-to-End Dashboard Build: BFSI Executive Dashboard — 3 pages, 15+ visuals, 6 DAX measures</t>
  </si>
  <si>
    <t>Publishing: Power BI Service (free), share link, workspace, dashboard vs report distinction</t>
  </si>
  <si>
    <t>Deliver and publish executive Power BI dashboards independently</t>
  </si>
  <si>
    <t>Week 10</t>
  </si>
  <si>
    <t>Tableau Desktop/Public: interface, data connection, dimensions vs measures, basic chart types, Marks card</t>
  </si>
  <si>
    <t>Tableau: Calculated fields, Parameters, LOD intro (FIXED/INCLUDE/EXCLUDE), Action Filters</t>
  </si>
  <si>
    <t>Tableau: Dashboard build, Story points, Publishing to Tableau Public — Telecom Churn scenario</t>
  </si>
  <si>
    <t>Build Tableau dashboards and publish for portfolio</t>
  </si>
  <si>
    <t>Week 11</t>
  </si>
  <si>
    <t>Python</t>
  </si>
  <si>
    <t>Python Fundamentals: Jupyter Notebook, variables, data types, lists, dicts, loops, functions, imports</t>
  </si>
  <si>
    <t>Pandas: DataFrames, read_csv/read_excel, filtering (loc/iloc), GroupBy, merge, fillna, dropna, str ops</t>
  </si>
  <si>
    <t>NumPy + EDA: descriptive stats, Matplotlib/Seaborn charts, correlation matrix, outlier detection</t>
  </si>
  <si>
    <t>Write Python scripts for data cleaning, analysis, and visualization</t>
  </si>
  <si>
    <t>Week 12</t>
  </si>
  <si>
    <t>Capstone, Projects &amp; Wrap-Up</t>
  </si>
  <si>
    <t>All Tools</t>
  </si>
  <si>
    <t>AI-Assisted Analytics: AI for Excel formulas, SQL query generation, Power BI DAX, Smart Narrative</t>
  </si>
  <si>
    <t>Capstone Project Presentations: End-to-End DA project (10 min/student), peer + trainer evaluation</t>
  </si>
  <si>
    <t>Final Assessment (MCQ + Practical SQL + Power BI task) + Portfolio review + Internship readiness check</t>
  </si>
  <si>
    <t>Portfolio-ready: MIS Dashboard + Capstone Project + Python EDA + Published Power BI</t>
  </si>
  <si>
    <t>DAY-WISE SESSION DETAIL — ALL 36 BA CORE SESSIONS</t>
  </si>
  <si>
    <t>Every session includes: Learning Objective | Topics | Hands-On Activity | Dataset | Assignment</t>
  </si>
  <si>
    <t>Day</t>
  </si>
  <si>
    <t>Module</t>
  </si>
  <si>
    <t>Learning Objective</t>
  </si>
  <si>
    <t>Topics Covered</t>
  </si>
  <si>
    <t>Hands-On Activity</t>
  </si>
  <si>
    <t>Dataset</t>
  </si>
  <si>
    <t>Assignment</t>
  </si>
  <si>
    <t>Wednesday</t>
  </si>
  <si>
    <t>Navigate Excel interface; write core MIS formulas accurately</t>
  </si>
  <si>
    <t>Excel interface &amp; Ribbon; Cell references (relative/absolute/mixed); SUM, COUNT, COUNTA, AVERAGE, MAX, MIN; IF, IFS, COUNTIF, SUMIF, SUMIFS; IFERROR; Basic formatting</t>
  </si>
  <si>
    <t>Build a Monthly Expense Tracker (50 rows): apply all 10+ formulas, use absolute references, highlight errors with IFERROR, format for manager review</t>
  </si>
  <si>
    <t>Manufacturing Monthly Expense Dataset (50 rows)</t>
  </si>
  <si>
    <t>3-sheet Excel workbook: Sheet1=raw data, Sheet2=formula summary table, Sheet3=manager-ready formatted report</t>
  </si>
  <si>
    <t>Thursday</t>
  </si>
  <si>
    <t>Excel Lookup Functions</t>
  </si>
  <si>
    <t>Retrieve and cross-reference data across multiple tables using lookup formulas</t>
  </si>
  <si>
    <t>VLOOKUP (exact &amp; approximate match); HLOOKUP; INDEX; MATCH; INDEX-MATCH combo; XLOOKUP intro; Nested VLOOKUP; Common VLOOKUP errors &amp; fixes</t>
  </si>
  <si>
    <t>HR Employee Lookup exercise: match 200 Employee IDs to department, salary grade, manager name, and location across 3 separate tables</t>
  </si>
  <si>
    <t>HR Employee Master Dataset (3 tables, 200 rows)</t>
  </si>
  <si>
    <t>Employee Info Card using INDEX-MATCH: enter any Employee ID → all details auto-populate from 3 tables</t>
  </si>
  <si>
    <t>Friday</t>
  </si>
  <si>
    <t>Data Cleaning &amp; Conditional Formatting</t>
  </si>
  <si>
    <t>Clean raw messy data and apply visual rules to highlight business insights</t>
  </si>
  <si>
    <t>TRIM, CLEAN, UPPER, LOWER, PROPER, LEFT, RIGHT, MID, LEN, SUBSTITUTE, CONCATENATE; Remove duplicates; Text-to-Columns; Data Validation (dropdowns, number limits); Conditional Formatting (highlight rules, data bars, color scales, icon sets)</t>
  </si>
  <si>
    <t>Clean a messy Retail Sales dataset: fix 8 types of data quality issues, standardize names/dates, apply traffic-light conditional formatting to KPI columns</t>
  </si>
  <si>
    <t>Messy Retail Sales Dataset (150 rows with intentional errors)</t>
  </si>
  <si>
    <t>Submit cleaned dataset + 5 conditional formatting rules applied to KPI columns; document each data issue found and fix applied</t>
  </si>
  <si>
    <t>Pivot Tables</t>
  </si>
  <si>
    <t>Summarize and slice large datasets quickly using Pivot Tables</t>
  </si>
  <si>
    <t>Insert Pivot Table; Row/Column/Value/Filter field areas; Grouping dates (by month/quarter/year); Calculated fields; Slicers; Value field settings (Sum/Count/Avg/% of total/running total); Pivot Table refresh; Multiple Pivot Tables from one source</t>
  </si>
  <si>
    <t>Analyze 500-row Retail Sales: build 4 Pivot Tables — region-wise revenue, product-wise units, monthly trend, top-10 customers; connect all to a shared slicer</t>
  </si>
  <si>
    <t>Retail Sales Dataset (500 rows: Region, Product, Date, Revenue, Units)</t>
  </si>
  <si>
    <t>Banking Transactions dataset: 3 Pivot Tables showing branch-wise deposits, monthly transaction counts, and customer segment analysis — all linked to a single date slicer</t>
  </si>
  <si>
    <t>Pivot Charts &amp; Dashboard Layout</t>
  </si>
  <si>
    <t>Visualize Pivot data with charts; design a structured, professional MIS dashboard</t>
  </si>
  <si>
    <t>Pivot Charts (bar, line, pie, combo); Chart formatting and titles; Dashboard planning (KPI strip, chart zone, slicer zone); Named ranges for dynamic charts; Freeze panes; Sheet protection; Print area setup; Page layout view</t>
  </si>
  <si>
    <t>Design a 2-section Sales Dashboard: KPI summary strip + 3 charts (bar, line, combo) all responding to a shared Month + Region slicer</t>
  </si>
  <si>
    <t>Retail Sales Dataset (continued from Wednesday)</t>
  </si>
  <si>
    <t>Single-page Executive Dashboard: minimum 3 charts, 2 slicers, KPI summary row, print-ready — submit as .xlsx</t>
  </si>
  <si>
    <t>End-to-End MIS Report</t>
  </si>
  <si>
    <t>Deliver a complete, submission-ready MIS report from raw data</t>
  </si>
  <si>
    <t>MIS report structure best practices; Header/footer/page numbers; Formula auditing (Trace Precedents/Dependents); Data summary design; Automated totals; Color-coded status columns; Manager-ready formatting; Email-ready file naming</t>
  </si>
  <si>
    <t>Build a complete Monthly MIS Report for a Telecom company: subscriber additions, churn rate, ARPU, revenue by circle, complaint resolution rate — 6-tab workbook</t>
  </si>
  <si>
    <t>Telecom Monthly Operations Dataset (300 rows)</t>
  </si>
  <si>
    <t>Print-ready MIS workbook: Cover Tab + Raw Data + 3 Pivot Summaries + 1 Executive Dashboard tab — submit as .xlsx with all tabs formatted</t>
  </si>
  <si>
    <t>Power Query – Import &amp; Transform</t>
  </si>
  <si>
    <t>Build automated data import and transformation pipelines using Power Query</t>
  </si>
  <si>
    <t>Power Query Editor interface; Import from CSV, Excel, Web/folder; Remove/rename/reorder columns; Change data types; Split columns; Filter &amp; replace values; Append queries; Merge queries (Power Query VLOOKUP); Load to sheet vs data model</t>
  </si>
  <si>
    <t>Import 3 separate CSV files (Sales, Returns, Products), clean each, then merge into one master analysis table — all automated via Power Query steps</t>
  </si>
  <si>
    <t>3 CSV files: Sales_2024.csv, Returns_2024.csv, Products_Master.csv (Manufacturing sector)</t>
  </si>
  <si>
    <t>Power Query pipeline merging 2 Excel files with cleaning steps documented — submit .xlsx showing Query Editor steps</t>
  </si>
  <si>
    <t>Power Pivot &amp; Excel Data Modeling</t>
  </si>
  <si>
    <t>Build multi-table relational data models inside Excel using Power Pivot</t>
  </si>
  <si>
    <t>Enable Power Pivot; Load tables to Data Model; Create relationships; DAX in Power Pivot: SUMX, CALCULATE, RELATED, DISTINCTCOUNT; Calculated columns vs Measures; KPI creation in Power Pivot; Building Pivot Tables on the data model</t>
  </si>
  <si>
    <t>Build data model linking 4 BFSI tables (Loans, Customers, Branches, Date): create 3 relationships and 4 DAX measures (Total Loans, Avg Loan Amount, Delinquency Rate, Branch Count)</t>
  </si>
  <si>
    <t>BFSI Loan Portfolio Dataset (4 related tables, ~1,000 rows combined)</t>
  </si>
  <si>
    <t>Power Pivot workbook: 4 tables + 3 relationships + 2 DAX measures + 1 Pivot Table sourced from the model — submit .xlsx</t>
  </si>
  <si>
    <t>Dynamic Dashboard with Controls</t>
  </si>
  <si>
    <t>Create fully interactive Excel dashboards driven by form controls and dynamic ranges</t>
  </si>
  <si>
    <t>Static vs dynamic named ranges; OFFSET + COUNTA for dynamic chart data; Form controls: dropdown list, scroll bar, option button, checkbox; Linking controls to cells; Dynamic chart titles using cell references; Combo chart techniques; Dashboard navigation with hyperlinks; Sheet protection for delivery</t>
  </si>
  <si>
    <t>Build an interactive HR Analytics Dashboard: dropdown to select department, charts update automatically, KPI cards show filtered values — fully dynamic without VBA</t>
  </si>
  <si>
    <t>HR Analytics Dataset (400 rows: department, headcount, attrition, training hours)</t>
  </si>
  <si>
    <t>Dynamic dashboard where chart data changes based on 2 dropdown selections — minimum 3 charts, 2 KPI cards, 1 calculated metric — submit .xlsx</t>
  </si>
  <si>
    <t>VBA Macros for Reporting Automation</t>
  </si>
  <si>
    <t>Write and run VBA macros to automate repetitive Excel reporting tasks</t>
  </si>
  <si>
    <t>VBA Editor (Alt+F11); Sub vs Function; Recording macros; Editing recorded code; Variables &amp; data types; For Next loop; If-Then-Else; MsgBox and InputBox; Working with Range objects; ActiveSheet, Worksheets; Auto-format report macro; Button to trigger macro</t>
  </si>
  <si>
    <t>Build a macro that takes a raw monthly sales sheet and: removes blanks, adds headers, applies formatting, highlights negative values red, generates a totals row, and saves a timestamped copy</t>
  </si>
  <si>
    <t>Unformatted Monthly Sales Raw Data (Retail, 200 rows)</t>
  </si>
  <si>
    <t>Macro that cleans a given dataset: removes blanks, applies borders, colors KPI columns, adds a summary row — submit .xlsm</t>
  </si>
  <si>
    <t>SQL Introduction – Basics to Aggregation</t>
  </si>
  <si>
    <t>Write SQL queries to extract, filter, and summarize business data from databases</t>
  </si>
  <si>
    <t>What is SQL; MySQL Workbench setup (pre-loaded DB); SELECT, FROM, WHERE (=/&gt;/&lt;, LIKE, IN, BETWEEN, NOT); DISTINCT; ORDER BY ASC/DESC; LIMIT; Column aliases; NULL handling (IS NULL, COALESCE); Aggregate functions (SUM, COUNT, AVG, MAX, MIN); GROUP BY; HAVING</t>
  </si>
  <si>
    <t>Query an HR Database: total employees by department, average salary by job grade, employees earning above ₹50,000, departments with more than 50 staff</t>
  </si>
  <si>
    <t>HR Database — MySQL (tables: employees, departments, salaries — 500 rows)</t>
  </si>
  <si>
    <t>8 SQL queries: 3 WHERE-based, 2 GROUP BY, 2 HAVING, 1 with CASE WHEN — submit as .sql with output screenshots</t>
  </si>
  <si>
    <t>SQL GROUP BY, HAVING &amp; CASE WHEN</t>
  </si>
  <si>
    <t>Master business data summarization with GROUP BY, HAVING, and conditional logic</t>
  </si>
  <si>
    <t>GROUP BY with multiple columns; HAVING vs WHERE (when to use each); Nested aggregation patterns; CASE WHEN for conditional columns; COUNT(*) vs COUNT(column); NULL in aggregations; Business scenario practice: sales analysis, customer segmentation, product ranking</t>
  </si>
  <si>
    <t>Banking Transactions analysis: branches with total transactions above ₹1 crore, top 5 transaction categories by volume, monthly average transaction values, customer tier segmentation with CASE WHEN</t>
  </si>
  <si>
    <t>Banking Transactions Database (tables: transactions, branches, customers — 800 rows)</t>
  </si>
  <si>
    <t>10 SQL queries using GROUP BY, HAVING, CASE WHEN, NULL handling — scenarios across Banking, Retail, and Healthcare data — submit as .sql</t>
  </si>
  <si>
    <t>SQL JOINs – All Types</t>
  </si>
  <si>
    <t>Retrieve data from multiple related tables using all SQL JOIN types</t>
  </si>
  <si>
    <t>INNER JOIN; LEFT JOIN; RIGHT JOIN; FULL OUTER JOIN; CROSS JOIN (concept); SELF JOIN; Multi-table JOINs (3+ tables); JOIN + WHERE; JOIN + GROUP BY; Identifying the right JOIN for each business question; Visual Venn diagram explanation</t>
  </si>
  <si>
    <t>Join 4 Banking tables (Customers, Accounts, Transactions, Branches): build a customer-level summary showing account type, total balance, branch name, transaction count</t>
  </si>
  <si>
    <t>Banking Multi-Table Database (4 tables, ~2,000 rows combined)</t>
  </si>
  <si>
    <t>6 JOIN queries across 3 datasets (HR, Retail, Telecom) — include 1 three-table JOIN and 1 SELF JOIN — submit .sql with business context comment per query</t>
  </si>
  <si>
    <t>Subqueries &amp; Nested SQL</t>
  </si>
  <si>
    <t>Write subqueries to solve complex analytical questions across business datasets</t>
  </si>
  <si>
    <t>Subquery in WHERE clause; Subquery in FROM (derived table); Scalar subquery in SELECT; Correlated subquery; EXISTS and NOT EXISTS; IN vs EXISTS performance comparison; Multi-row subquery patterns; Business use cases</t>
  </si>
  <si>
    <t>Telecom churn analysis: find customers with below-average usage in all 3 months, identify plans with fewer than 100 active subscribers, flag accounts with usage drop &gt;50% using subqueries</t>
  </si>
  <si>
    <t>Telecom Customer &amp; Usage Database (3 tables, ~1,500 rows)</t>
  </si>
  <si>
    <t>5 subquery queries: 1 WHERE subquery, 1 derived table, 1 correlated subquery, 1 EXISTS, 1 scalar — each with a business problem statement — submit .sql</t>
  </si>
  <si>
    <t>CTEs – Common Table Expressions</t>
  </si>
  <si>
    <t>Write readable, modular multi-step analytical queries using CTEs</t>
  </si>
  <si>
    <t>WITH clause syntax; Single CTE; Multiple chained CTEs; CTE vs Subquery: readability and reuse; CTE for ranking and deduplication; Recursive CTE concept (awareness level); Real-world CTE patterns: step-by-step analysis pipelines</t>
  </si>
  <si>
    <t>Manufacturing defect analysis pipeline: CTE 1 — filter defective batches; CTE 2 — rank by defect rate; CTE 3 — join to Supplier master; Final SELECT — summarize by supplier with ranking</t>
  </si>
  <si>
    <t>Manufacturing Quality Control Database (3 tables, ~1,200 rows)</t>
  </si>
  <si>
    <t>Rewrite 3 complex subqueries as CTEs; write 2 original multi-step CTEs for business problems — submit .sql</t>
  </si>
  <si>
    <t>Window Functions — Ranking</t>
  </si>
  <si>
    <t>Use window functions to rank rows and identify top-N patterns within groups</t>
  </si>
  <si>
    <t>OVER() clause; PARTITION BY; ORDER BY inside OVER; ROW_NUMBER(); RANK(); DENSE_RANK(); NTILE(n); Difference between RANK and DENSE_RANK; Top-N per group using window functions; Ranking with ties; Interview-style ranking problems</t>
  </si>
  <si>
    <t>E-commerce analysis: rank products by revenue within each category, find top-3 products per region, identify customers in top-25% by spending using NTILE</t>
  </si>
  <si>
    <t>E-commerce Orders Database (products, orders, customers — 3,000 rows)</t>
  </si>
  <si>
    <t>6 ranking queries using all 4 ranking functions — include 2 interview-style problems (top-N per group, percentile ranking) — submit .sql</t>
  </si>
  <si>
    <t>Window Functions — Analytical</t>
  </si>
  <si>
    <t>Calculate running totals, moving averages, and period comparisons using analytical window functions</t>
  </si>
  <si>
    <t>SUM() OVER (PARTITION BY … ORDER BY …); AVG() OVER; Running total vs partition total; LEAD() and LAG() for period-over-period comparison; FIRST_VALUE() and LAST_VALUE(); ROWS BETWEEN clause; RANGE BETWEEN; Business applications: MoM growth, running revenue, trend analysis</t>
  </si>
  <si>
    <t>BFSI portfolio: running total of loan disbursements by month, month-over-month growth using LAG, identify accounts where current balance dropped vs previous period, 3-month moving average of transaction values</t>
  </si>
  <si>
    <t>BFSI Loan &amp; Account Database (3 tables, ~2,500 rows)</t>
  </si>
  <si>
    <t>5 analytical window queries: running total, 3-month moving average, MoM growth with LAG, rank within department, first/last value per group — submit .sql</t>
  </si>
  <si>
    <t>SQL Interview Scenarios &amp; Practice</t>
  </si>
  <si>
    <t>Apply all SQL skills to realistic interview-style business problems</t>
  </si>
  <si>
    <t>Interview SQL pattern library: deduplication with ROW_NUMBER, top-N with DENSE_RANK, YoY comparison with LAG, running totals, NULL-safe aggregations, CTE pipelines; Common SQL interview question types; Live whiteboard problem-solving; Query optimization concepts</t>
  </si>
  <si>
    <t>Timed SQL challenge: 4 interview-style problems on a new E-commerce database (30 minutes) — students write queries independently then review together</t>
  </si>
  <si>
    <t>E-commerce Multi-Table Database (new unseen dataset for interview simulation)</t>
  </si>
  <si>
    <t>Complete a set of 6 SQL interview questions (provided as a PDF) on a Healthcare database — submit .sql within 48 hours</t>
  </si>
  <si>
    <t>Power BI – Import &amp; Power Query</t>
  </si>
  <si>
    <t>Import, connect, and clean data from multiple sources in Power BI Desktop</t>
  </si>
  <si>
    <t>Power BI Desktop interface: Report / Data / Model views; Connect to Excel, CSV, SQL Server, Web; Power Query Editor in Power BI: same skills, different environment; Data type detection; Column quality, distribution, profile; Handle nulls and errors; Load vs Apply &amp; Close; Query folding concept</t>
  </si>
  <si>
    <t>Import a 3-source Retail dataset (Excel: sales, CSV: inventory, SQL: store master) into Power BI; clean each source and load to the model</t>
  </si>
  <si>
    <t>Retail Multi-Source Dataset (Excel: 1,000 rows sales, CSV: inventory, SQL: store master)</t>
  </si>
  <si>
    <t>Power BI file with 2 cleaned data sources imported and transformed — document all Power Query steps — submit .pbix</t>
  </si>
  <si>
    <t>Power BI – Data Modeling</t>
  </si>
  <si>
    <t>Build a star schema data model with correct relationships for BI analysis</t>
  </si>
  <si>
    <t>Star schema vs snowflake schema; Fact tables and dimension tables; Creating relationships in Model view; One-to-many, many-to-one cardinality; Active vs inactive relationships; Cross-filter direction (single vs both); Hiding columns; Table/column descriptions; Avoiding circular relationships; Checking model with a simple report</t>
  </si>
  <si>
    <t>Build a BFSI star schema: Fact_Loans at center linked to Dim_Customer, Dim_Branch, Dim_Date, Dim_Product — set all relationships, test with a matrix visual</t>
  </si>
  <si>
    <t>BFSI Loan Portfolio Dataset (5 tables designed for star schema)</t>
  </si>
  <si>
    <t>Complete data model: minimum 4 relationships with correct cardinality and cross-filter settings — 1 report page validating the model — submit .pbix</t>
  </si>
  <si>
    <t>Power BI – DAX Foundations</t>
  </si>
  <si>
    <t>Write DAX calculated columns and measures for business KPIs</t>
  </si>
  <si>
    <t>DAX vs Excel formulas: key differences (context-aware); Calculated columns vs Measures; Basic measures: SUM, COUNT, COUNTROWS, AVERAGE, MAX, MIN, DISTINCTCOUNT; CALCULATE introduction; DIVIDE for safe division; RELATED for cross-table lookup; FORMAT; VAR/RETURN for readable DAX</t>
  </si>
  <si>
    <t>Create 10 DAX measures for a Manufacturing dataset: Total Production, Defect Rate %, OTD %, Cost Per Unit, Utilization Rate, and 5 more KPIs — validate each against source data</t>
  </si>
  <si>
    <t>Manufacturing Operations Dataset (3 related tables: production, defects, delivery)</t>
  </si>
  <si>
    <t>8 DAX measures: minimum 2 using CALCULATE, 1 using DIVIDE, 1 using RELATED — submit .pbix with measure descriptions</t>
  </si>
  <si>
    <t>Power BI – Advanced DAX (CALCULATE &amp; Context)</t>
  </si>
  <si>
    <t>Use CALCULATE and filter modifier functions for context-aware analysis</t>
  </si>
  <si>
    <t>Filter context vs row context deep dive; CALCULATE with FILTER; ALL() to remove filters; ALLEXCEPT(); ALLSELECTED(); Using multiple FILTER arguments; KEEPFILTERS; Practical patterns: % of total, % of category, conditional measures; Variables (VAR/RETURN) for complex DAX</t>
  </si>
  <si>
    <t>Build a 'Sales % of Total' measure, a 'Top Category Sales' measure using CALCULATE+FILTER, and an 'Adjusted Revenue' measure with ALLEXCEPT — validate all in a table visual with slicers</t>
  </si>
  <si>
    <t>Retail Sales Dataset (Power BI — 1,000+ rows)</t>
  </si>
  <si>
    <t>6 DAX measures using CALCULATE, ALL, ALLEXCEPT, and FILTER — explain each measure's filter logic in a comment — submit .pbix</t>
  </si>
  <si>
    <t>Power BI – Time Intelligence</t>
  </si>
  <si>
    <t>Build time-based analytical measures using DAX Time Intelligence functions</t>
  </si>
  <si>
    <t>Calendar table creation (CALENDAR or CALENDARAUTO); Mark as Date table; TOTALYTD, TOTALMTD, TOTALQTD; SAMEPERIODLASTYEAR; DATEADD; DATESBETWEEN; PARALLELPERIOD; YoY % change measure; Rolling 12-month total; MTD vs prior MTD comparison</t>
  </si>
  <si>
    <t>Telecom Revenue Time Intelligence report: Current Month vs Last Month, YTD vs Last Year YTD, Rolling 12-Month trend, MoM % growth — all as DAX measures tested in a line chart</t>
  </si>
  <si>
    <t>Telecom Revenue Dataset with Calendar Table (2 years monthly data)</t>
  </si>
  <si>
    <t>6 Time Intelligence measures: YTD, MTD, SAMEPERIODLASTYEAR for 2 KPIs each — create trend line visual — submit .pbix</t>
  </si>
  <si>
    <t>Power BI – KPI Design &amp; Dashboard Features</t>
  </si>
  <si>
    <t>Design professional, interactive KPI dashboards with advanced Power BI features</t>
  </si>
  <si>
    <t>Visual types: Card, Multi-row Card, KPI, Gauge, Matrix, Clustered/Stacked Bar, Line, Combo, Scatter; Conditional formatting on visuals; Drill-through pages; Bookmarks &amp; navigation buttons; Report page tooltips; Slicers (date range, dropdown, tile); Sync slicers across pages; Mobile layout optimization</t>
  </si>
  <si>
    <t>Build a 3-page Healthcare report: Page 1 = Executive Summary KPIs, Page 2 = Patient Analysis with drill-through to individual records, Page 3 = Monthly Trend with time slicer and bookmark toggles</t>
  </si>
  <si>
    <t>Healthcare Operations Dataset (patients, treatments, doctors — 2,000 rows)</t>
  </si>
  <si>
    <t>2-page Power BI report: minimum 5 visual types, 1 drill-through, 1 bookmark navigation button, 2 synced slicers — submit .pbix</t>
  </si>
  <si>
    <t>Power BI – Executive Dashboard End-to-End</t>
  </si>
  <si>
    <t>Design and deliver a complete, publish-ready executive Power BI dashboard</t>
  </si>
  <si>
    <t>End-to-end build process: business requirement → data import → modeling → DAX measures → dashboard design → interactivity → storytelling; Design principles: color hierarchy, white space, visual alignment, KPI priority; Data storytelling: context, insight, recommendation</t>
  </si>
  <si>
    <t>Build a complete BFSI Executive Dashboard (4 pages): Portfolio Overview, Branch Performance, Customer Segmentation, Risk KPIs — 15+ visuals, 6 DAX measures, drill-through, bookmarks</t>
  </si>
  <si>
    <t>BFSI Comprehensive Dataset (loans, branches, customers, dates — 5,000 rows)</t>
  </si>
  <si>
    <t>2-page executive dashboard: 10+ visuals, 3 DAX measures (including 1 time intelligence), 2 slicers, drill-through — publish to Power BI Service and submit .pbix + Service link</t>
  </si>
  <si>
    <t>Power BI – Review &amp; Q&amp;A + MIS Project Work</t>
  </si>
  <si>
    <t>Consolidate Power BI knowledge; begin MIS Executive Dashboard project work</t>
  </si>
  <si>
    <t>Power BI concept review: DAX context rules, relationship gotchas, visual formatting tips, dashboard checklist; Common interview questions on Power BI; Live Q&amp;A and troubleshooting session; Project 1 (MIS Dashboard) briefing and supervised work session</t>
  </si>
  <si>
    <t>Guided project work session: students begin or continue Project 1 (MIS Executive Dashboard in Excel) with trainer available for support</t>
  </si>
  <si>
    <t>Project 1 Dataset: PrecisionParts Manufacturing dataset (provided to students)</t>
  </si>
  <si>
    <t>Submit 25% progress on Project 1 (MIS Dashboard) — at minimum: data loaded, cleaned, and 2 Pivot Tables created</t>
  </si>
  <si>
    <t>Power BI – AI Visuals &amp; Advanced Features</t>
  </si>
  <si>
    <t>Use Power BI AI features and advanced reporting features for modern analytics</t>
  </si>
  <si>
    <t>Q&amp;A Visual: natural language queries on data; Smart Narrative visual: auto-generated text insights; Anomaly Detection on line charts; Key Influencers visual; Decomposition Tree; Report comments and collaboration; Power BI template (.pbit) creation; Export to PDF/PowerPoint</t>
  </si>
  <si>
    <t>Add Smart Narrative and Q&amp;A Visual to the existing BFSI dashboard; run anomaly detection on monthly revenue trend; test Key Influencers visual for loan delinquency analysis</t>
  </si>
  <si>
    <t>BFSI Dataset (continued from Week 9 Wed)</t>
  </si>
  <si>
    <t>Add at least 1 AI visual to the Week 9 Wed dashboard — submit updated .pbix</t>
  </si>
  <si>
    <t>Tableau – Foundations &amp; Basic Charts</t>
  </si>
  <si>
    <t>Use Tableau to create standard analytical visualizations efficiently</t>
  </si>
  <si>
    <t>Tableau Desktop/Public: interface tour; Connect to Excel and CSV; Data source view; Dimensions vs Measures (blue/green pills); Building views: bar, line, scatter, heat map, treemap, map chart; Marks card (color/size/label/tooltip); Show Me panel; Format pane; Dual axis chart; Quick filters and context filters</t>
  </si>
  <si>
    <t>Education dataset: 5 Tableau visualizations — enrollment trend (line), pass rates by school (bar), score distribution (histogram), teacher-student ratio (scatter), school performance (heat map)</t>
  </si>
  <si>
    <t>Education Analytics Dataset (schools, students, scores — 800 rows)</t>
  </si>
  <si>
    <t>4 Tableau charts (minimum 3 different chart types) with filters and color encoding — submit as .twbx or Tableau Public link</t>
  </si>
  <si>
    <t>Tableau – Dashboards, Parameters &amp; Calculated Fields</t>
  </si>
  <si>
    <t>Build interactive Tableau dashboards with parameters, calculated fields, and LOD expressions</t>
  </si>
  <si>
    <t>Dashboard: tiled vs floating layout; Action filters (filter, highlight, URL actions); Parameters: numeric/string/list — usage in calculated fields; Calculated fields: math, string, date, logical (IF/CASE); LOD expressions intro: FIXED, INCLUDE, EXCLUDE — when and why; Story points in Tableau</t>
  </si>
  <si>
    <t>Telecom Churn Dashboard: filter by region, parameter to toggle between revenue and churn metrics, LOD to show churn rate fixed by plan type regardless of date filter</t>
  </si>
  <si>
    <t>Telecom Churn Dataset (customers, plans, usage, churn flag — 1,500 rows)</t>
  </si>
  <si>
    <t>2-dashboard Tableau story with: 1 parameter, 1 calculated field, 2 action filters — publish to Tableau Public and submit link</t>
  </si>
  <si>
    <t>Tableau – Review + Capstone Prep</t>
  </si>
  <si>
    <t>Consolidate Tableau skills; finalize capstone project structure and dataset setup</t>
  </si>
  <si>
    <t>Tableau best practices: when to use Tableau vs Power BI; dashboard design checklist; Tableau Public portfolio tips; Project 2 (Capstone) briefing: business scenario, dataset walkthrough, deliverable checklist, timeline; Supervised dataset exploration and query planning</t>
  </si>
  <si>
    <t>Students set up Project 2 dataset in SQL and Power BI; run first exploratory SQL queries on the NovaBanc BFSI Capstone dataset</t>
  </si>
  <si>
    <t>NovaBanc BFSI Capstone Dataset (5 tables — provided to students)</t>
  </si>
  <si>
    <t>Submit Capstone Project Plan: dataset loaded in SQL + Power BI + Jupyter; first 2 SQL queries run; Power BI model with relationships created — 1-page project plan document</t>
  </si>
  <si>
    <t>Python Fundamentals</t>
  </si>
  <si>
    <t>Learn core Python syntax and data structures used in data analytics</t>
  </si>
  <si>
    <t>Anaconda/Jupyter Notebook setup; Variables and data types (int, float, str, bool); Lists, tuples, dictionaries, sets; Arithmetic &amp; comparison operators; If-elif-else; For and while loops; List comprehensions; Functions (def, parameters, return, default args); Importing libraries; Try-except error handling</t>
  </si>
  <si>
    <t>Python script: takes a list of 12 monthly sales values, calculates mean/max/min, flags months above average, categorizes each month (High/Medium/Low), and prints a formatted summary report</t>
  </si>
  <si>
    <t>No external dataset — built from scratch in Jupyter Notebook</t>
  </si>
  <si>
    <t>3 Python functions: (1) categorize employees by salary band, (2) calculate YoY growth for a list, (3) filter products by category — submit .ipynb</t>
  </si>
  <si>
    <t>Pandas – Data Analysis &amp; Cleaning</t>
  </si>
  <si>
    <t>Use Pandas DataFrames to load, clean, and analyze real business datasets</t>
  </si>
  <si>
    <t>import pandas; pd.read_csv / pd.read_excel; df.head(), info(), describe(), shape, dtypes; Selecting columns (df['col']); Filtering rows (loc/iloc, boolean indexing); Handling missing values (isnull, dropna, fillna); Removing duplicates; String operations (.str.strip/.upper/.contains); Date parsing; GroupBy + agg; Sort values; Merge / join DataFrames; Apply custom functions</t>
  </si>
  <si>
    <t>Retail dataset analysis: load 1,000-row CSV, check data quality (5 issue types), fill/drop nulls, standardize strings, GroupBy category+region, calculate top-10 products by revenue, merge with product master table</t>
  </si>
  <si>
    <t>Retail Sales CSV (1,000 rows: product, category, region, revenue, date, quantity)</t>
  </si>
  <si>
    <t>Clean a messy dataset: handle 5 data quality issues, perform GroupBy analysis, output a clean CSV — submit .ipynb with markdown commentary</t>
  </si>
  <si>
    <t>NumPy &amp; Exploratory Data Analysis (EDA)</t>
  </si>
  <si>
    <t>Perform structured EDA to discover patterns, outliers, and business insights</t>
  </si>
  <si>
    <t>NumPy arrays: creation, math operations, broadcasting, array indexing; EDA framework: Understand → Clean → Explore → Summarize → Visualize; Matplotlib: line, bar, histogram, boxplot, scatter; Seaborn: pairplot, heatmap, countplot, violinplot; Correlation matrix; Outlier detection and visualization; Deriving business insights from charts</t>
  </si>
  <si>
    <t>Full EDA on Education dataset: demographics distributions, score histograms, correlation matrix, school performance boxplots, pass rate trends — produce 8 visualizations with insights commentary</t>
  </si>
  <si>
    <t>Education Analytics Dataset — Python CSV (students, scores, demographics — 600 rows)</t>
  </si>
  <si>
    <t>Full EDA on Healthcare dataset: 5 visualizations (histogram, boxplot, scatter, heatmap, bar), correlation matrix, 3 business insight statements — submit .ipynb</t>
  </si>
  <si>
    <t>Apply AI tools to accelerate real analytics tasks across all tools covered in the program</t>
  </si>
  <si>
    <t>AI in the modern analyst's workflow; AI-Assisted Excel: generate complex formulas, Power Query steps, VBA snippets via prompts; AI-Assisted SQL: query generation, debugging, optimization, schema explanation; AI-Assisted Power BI: DAX generation, visual selection guidance, narrative insights; Power BI AI Visuals (Smart Narrative, Q&amp;A, Anomaly Detection review); Professional standards: validate all AI output, document prompts, maintain analytical judgment</t>
  </si>
  <si>
    <t>Use AI to: (1) generate a nested SUMIFS formula for a complex Excel scenario, (2) create a 4-table JOIN SQL query, (3) write a CALCULATE+SAMEPERIODLASTYEAR DAX measure, (4) add Smart Narrative to a Power BI report — validate and improve each AI output</t>
  </si>
  <si>
    <t>Multi-tool practice (AI prompts applied to existing course datasets)</t>
  </si>
  <si>
    <t>5 documented AI use cases across 3 tools: describe the problem, the prompt used, AI output, validation step, and your improvement — submit as Word/PDF document</t>
  </si>
  <si>
    <t>Capstone Project Presentations</t>
  </si>
  <si>
    <t>Present end-to-end data analyst projects demonstrating all program skills</t>
  </si>
  <si>
    <t>Presentation structure: Business Problem → Data Approach → Tools Used → Key Findings → Dashboard Demo → Recommendations; Data storytelling: context-conflict-resolution structure; Handling Q&amp;A from audience; Executive communication principles; Portfolio packaging: GitHub, LinkedIn, PDF case study; Feedback session with rubric</t>
  </si>
  <si>
    <t>Student presentations (10 min each): End-to-End Data Analyst Capstone (NovaBanc BFSI project) — live dashboard demo + insights narration — peer and trainer evaluation using scoring rubric</t>
  </si>
  <si>
    <t>Student's own capstone project dataset (NovaBanc BFSI)</t>
  </si>
  <si>
    <t>FINAL SUBMISSION: Capstone project folder — SQL script (.sql), Python EDA notebook (.ipynb), Power BI dashboard (.pbix + Service link), Excel support file (.xlsx), 500-word executive summary (PDF)</t>
  </si>
  <si>
    <t>Final Assessment &amp; Portfolio Review</t>
  </si>
  <si>
    <t>Evaluate comprehensive skill mastery; confirm internship and job readiness</t>
  </si>
  <si>
    <t>Final assessment structure overview; Timed practical sessions (SQL + Power BI); Portfolio checklist review; LinkedIn analytics section guidance; Resume skills section for data roles; Certification criteria confirmation; Next steps: internship applications, job application strategy, interview preparation track (separate module)</t>
  </si>
  <si>
    <t>Timed assessments: 30-minute SQL practical (new e-commerce database) + 30-minute Power BI task (build a 1-page dashboard on new manufacturing dataset)</t>
  </si>
  <si>
    <t>Assessment Dataset A: E-commerce (SQL) | Assessment Dataset B: Manufacturing (Power BI)</t>
  </si>
  <si>
    <t>COURSE COMPLETION: All 12 weekly assignments submitted + 3 monthly assessments passed + MIS Project submitted + Capstone submitted = Certificate eligible</t>
  </si>
  <si>
    <t>DATA ANALYTICS ADD-ON TRACK — 6–8 HOURS (Extra Sessions Beyond 72-Hour BA Core)</t>
  </si>
  <si>
    <t>Covers: Statistics | Hypothesis Testing | IBM SPSS | AI-Assisted Analytics | Delivered as Weekend / Additional Sessions</t>
  </si>
  <si>
    <t>Session</t>
  </si>
  <si>
    <t>Topic</t>
  </si>
  <si>
    <t>Deliverable / Assessment</t>
  </si>
  <si>
    <t>DA Session 1</t>
  </si>
  <si>
    <t>2 Hours</t>
  </si>
  <si>
    <t>Descriptive Statistics for Business</t>
  </si>
  <si>
    <t>Calculate and interpret descriptive statistics to summarize business datasets</t>
  </si>
  <si>
    <t>Types of data (nominal, ordinal, interval, ratio); Measures of central tendency: mean, median, mode — business interpretation; Measures of dispersion: range, variance, standard deviation, IQR; Percentiles and quartiles; Skewness concept; Outlier detection: IQR method and Z-score method; Correlation (Pearson): interpretation and scatter plots; Correlation matrix</t>
  </si>
  <si>
    <t>Analyze Hospital patient data: calculate descriptive stats for patient age, treatment cost, and length of stay; build a correlation matrix; identify outlier cases; write 3 business insights from the statistics</t>
  </si>
  <si>
    <t>Submit: Descriptive stats table + correlation matrix + 3 written business insights from a Healthcare dataset</t>
  </si>
  <si>
    <t>DA Session 2</t>
  </si>
  <si>
    <t>3 Hours</t>
  </si>
  <si>
    <t>Hypothesis Testing for Business Decisions</t>
  </si>
  <si>
    <t>Frame and test business hypotheses to support data-driven decisions</t>
  </si>
  <si>
    <t>Hypothesis formulation: Null (H₀) and Alternate (H₁); Type I and Type II errors; P-value interpretation; Significance level (α = 0.05 standard); One-tailed vs two-tailed tests; T-Test (one-sample, two-sample independent, paired); Z-Test: when to use; Chi-Square Test (test of independence); One-Way ANOVA; Test selection guide (decision tree); Business problem framing for each test</t>
  </si>
  <si>
    <t>3 business scenarios: (1) Healthcare — test if new treatment reduces recovery time (paired t-test); (2) Education — test if training program significantly improves scores (one-sample t-test); (3) Retail — test if sales differ across regions (ANOVA); write business conclusions for each result</t>
  </si>
  <si>
    <t>Submit: 3 hypothesis tests (t-test + chi-square + ANOVA) on provided datasets with business interpretation — Excel or Python output accepted</t>
  </si>
  <si>
    <t>DA Session 3</t>
  </si>
  <si>
    <t>IBM SPSS – Introduction &amp; Statistical Demo</t>
  </si>
  <si>
    <t>Navigate SPSS interface and run basic statistical analyses for awareness</t>
  </si>
  <si>
    <t>IBM SPSS introduction: what it is, when it is used (vs Excel/Python); SPSS Data Editor: Variable View (define variables, types, labels) vs Data View; Importing CSV data; Variable types and measurement levels (nominal/ordinal/scale); Descriptive Statistics: Frequencies, Descriptives, Explore; Crosstabs with Chi-Square output; Independent Samples T-Test: run + interpret output viewer; One-Way ANOVA demo; Reading SPSS output: Sig. value, F-statistic interpretation</t>
  </si>
  <si>
    <t>Run in SPSS: descriptive statistics + a t-test on a Healthcare patient dataset; interpret the output viewer tables; write plain-English conclusions for each result</t>
  </si>
  <si>
    <t>Submit: SPSS output viewer screenshot + 200-word interpretation of descriptive stats and t-test result</t>
  </si>
  <si>
    <t>DA Session 4 (Optional)</t>
  </si>
  <si>
    <t>1 Hour</t>
  </si>
  <si>
    <t>AI-Assisted Analytics for the Modern Analyst</t>
  </si>
  <si>
    <t>Use AI tools to accelerate analytics work across Excel, SQL, and Power BI</t>
  </si>
  <si>
    <t>AI in the analyst's daily workflow (2024+); Prompt engineering principles for data tasks; AI for Excel: generate formulas, Power Query M code, VBA macros; AI for SQL: generate queries, debug errors, explain schemas; AI for Power BI: generate DAX measures, explain visual choices; AI for Python: generate Pandas code, debugging; Professional guidelines: always validate AI output, document prompts, use AI as productivity — not replacement; Limitations and risks</t>
  </si>
  <si>
    <t>Live exercise: use AI to (1) generate a nested Excel formula, (2) create a 3-table SQL JOIN, (3) write a CALCULATE DAX measure, (4) generate a Pandas GroupBy code block — validate each output against the actual data</t>
  </si>
  <si>
    <t>Submit: 4 AI-assisted tasks documented with: problem stated, prompt used, AI output, validation check, and improvement made</t>
  </si>
  <si>
    <t>DELIVERY NOTES FOR DA ADD-ON TRACK</t>
  </si>
  <si>
    <t>Delivery Timing</t>
  </si>
  <si>
    <t>Can be delivered as: (1) Weekend batch sessions, (2) Additional weekday sessions, (3) Integrated after Week 7 of the BA Core, (4) As a standalone upgrade for BA Core graduates</t>
  </si>
  <si>
    <t>Prerequisites</t>
  </si>
  <si>
    <t>Students must have completed at minimum: Excel (Weeks 1-2) and ideally SQL foundations (Weeks 4-5) before attending Statistics and Hypothesis Testing sessions</t>
  </si>
  <si>
    <t>Tools Required</t>
  </si>
  <si>
    <t>Statistics &amp; Hypothesis Testing: Excel (built-in functions) or Python (scipy.stats) — student's choice; SPSS: IBM SPSS Statistics (trial or institutional license); AI Session: ChatGPT or Claude free accounts</t>
  </si>
  <si>
    <t>Certificate Impact</t>
  </si>
  <si>
    <t>Completing the DA Add-On track upgrades the student's certificate to 'Data Analytics Program (Full Track)' — this strengthens placement for Data Analyst roles significantly</t>
  </si>
  <si>
    <t>Career Value</t>
  </si>
  <si>
    <t>Statistics + Hypothesis Testing are frequently tested in Data Analyst interviews at mid-size and large companies — this track is a direct differentiator</t>
  </si>
  <si>
    <t>Recommended For</t>
  </si>
  <si>
    <t>All students targeting Data Analyst roles; students interested in Research Analyst or Statistical Analyst positions; students planning to pursue advanced analytics or ML courses subsequently</t>
  </si>
  <si>
    <t>WEEKLY ASSIGNMENTS &amp; MONTHLY ASSESSMENTS — BA CORE TRACK</t>
  </si>
  <si>
    <t>WEEKLY ASSIGNMENTS (12 Weeks)</t>
  </si>
  <si>
    <t>Assignment Title</t>
  </si>
  <si>
    <t>Tools</t>
  </si>
  <si>
    <t>Description</t>
  </si>
  <si>
    <t>Deliverable</t>
  </si>
  <si>
    <t>Difficulty</t>
  </si>
  <si>
    <t>Marks</t>
  </si>
  <si>
    <t>Excel MIS Foundation Workbook</t>
  </si>
  <si>
    <t>3-sheet workbook on Manufacturing expense data: all core formulas (SUM to SUMIFS), INDEX-MATCH across 3 tables, data cleaning (8 issues fixed), conditional formatting on KPIs</t>
  </si>
  <si>
    <t>Excel .xlsx (3 sheets: raw, formula summary, manager report)</t>
  </si>
  <si>
    <t>Beginner</t>
  </si>
  <si>
    <t>20</t>
  </si>
  <si>
    <t>Sales Performance MIS Dashboard</t>
  </si>
  <si>
    <t>Retail sales dataset: 3 Pivot Tables + 3 Pivot Charts all connected to slicers, KPI summary row, print-ready MIS layout — professional formatting throughout</t>
  </si>
  <si>
    <t>Excel .xlsx (1-page dashboard + pivot sheet)</t>
  </si>
  <si>
    <t>Beginner+</t>
  </si>
  <si>
    <t>25</t>
  </si>
  <si>
    <t>Dynamic Power Query Dashboard</t>
  </si>
  <si>
    <t>Power Query pipeline merging 3 CSVs + Power Pivot model with 4 tables + form-control-driven interactive dashboard with dynamic named ranges</t>
  </si>
  <si>
    <t>Excel .xlsx with Power Query + Power Pivot + dynamic dashboard</t>
  </si>
  <si>
    <t>Intermediate</t>
  </si>
  <si>
    <t>30</t>
  </si>
  <si>
    <t>VBA Macro + SQL Query Set</t>
  </si>
  <si>
    <t>VBA macro that cleans and formats a monthly report automatically + 10 SQL queries (WHERE, GROUP BY, HAVING, CASE WHEN) on HR and Banking databases</t>
  </si>
  <si>
    <t>.xlsm macro file + .sql file (10 queries)</t>
  </si>
  <si>
    <t>Multi-Table SQL Analysis (JOINs to CTEs)</t>
  </si>
  <si>
    <t>6 JOIN queries across 3 datasets + 5 subquery queries + 3 CTE queries — each with business problem statement — across Telecom, Manufacturing, and Banking data</t>
  </si>
  <si>
    <t>.sql file with 14 queries and business context comments</t>
  </si>
  <si>
    <t>35</t>
  </si>
  <si>
    <t>Advanced SQL: Window Functions + Interview Problems</t>
  </si>
  <si>
    <t>5 ranking window function queries + 5 analytical window function queries on E-commerce/BFSI + 6-question SQL interview challenge on Healthcare data</t>
  </si>
  <si>
    <t>.sql file (10 + 6 queries) with explanations</t>
  </si>
  <si>
    <t>Advanced</t>
  </si>
  <si>
    <t>Power BI Data Model + DAX Measures</t>
  </si>
  <si>
    <t>BFSI star schema data model (5 tables, 4 relationships) + 8 DAX measures (including CALCULATE, DIVIDE, RELATED) + 1 report page validating the model</t>
  </si>
  <si>
    <t>.pbix file with documented DAX measures</t>
  </si>
  <si>
    <t>Power BI Advanced DAX + Time Intelligence</t>
  </si>
  <si>
    <t>6 CALCULATE/ALL/ALLEXCEPT measures + 6 Time Intelligence measures (YTD, MTD, YoY) for Telecom/Retail dataset + trend visualization</t>
  </si>
  <si>
    <t>.pbix with 12 DAX measures and trend visual</t>
  </si>
  <si>
    <t>Executive Power BI Dashboard</t>
  </si>
  <si>
    <t>2-page executive dashboard: 10+ visuals, 3 DAX measures, 1 time intelligence measure, drill-through, bookmark navigation, 2 synced slicers — published to Power BI Service</t>
  </si>
  <si>
    <t>.pbix file + Power BI Service share link</t>
  </si>
  <si>
    <t>40</t>
  </si>
  <si>
    <t>Tableau Story + Capstone Data Setup</t>
  </si>
  <si>
    <t>Tableau / SQL</t>
  </si>
  <si>
    <t>2-dashboard Tableau story on Telecom Churn (parameter + calculated field + LOD + action filters, published) + Capstone dataset loaded in SQL + Power BI with first 2 exploratory queries</t>
  </si>
  <si>
    <t>Tableau Public link + .pbix Capstone setup + .sql (2 exploratory queries)</t>
  </si>
  <si>
    <t>Python EDA Notebook</t>
  </si>
  <si>
    <t>Full EDA on Healthcare dataset: data cleaning (5 issue types), GroupBy analysis, 5 visualizations (histogram, boxplot, scatter, heatmap, bar), correlation matrix, 3 actionable business insights — documented with markdown</t>
  </si>
  <si>
    <t>Jupyter .ipynb file</t>
  </si>
  <si>
    <t>Capstone Project Final Submission</t>
  </si>
  <si>
    <t>Complete capstone project: SQL script (4 queries), Python EDA notebook, Power BI executive dashboard (.pbix + Service link), Excel support analysis, 500-word executive summary</t>
  </si>
  <si>
    <t>Project folder: .sql + .ipynb + .pbix + .xlsx + PDF summary</t>
  </si>
  <si>
    <t>50</t>
  </si>
  <si>
    <t>MONTHLY ASSESSMENTS (3 Assessments)</t>
  </si>
  <si>
    <t>Assessment</t>
  </si>
  <si>
    <t>Timing</t>
  </si>
  <si>
    <t>Format</t>
  </si>
  <si>
    <t>Topics Tested</t>
  </si>
  <si>
    <t>Total Marks</t>
  </si>
  <si>
    <t>Pass Mark</t>
  </si>
  <si>
    <t>Month 1 Assessment</t>
  </si>
  <si>
    <t>End of Week 4</t>
  </si>
  <si>
    <t>20 MCQ + Excel practical task + SQL practical task</t>
  </si>
  <si>
    <t>Excel formulas, VLOOKUP/INDEX-MATCH, Pivot Tables, MIS dashboard, VBA basics, SQL SELECT to GROUP BY+HAVING</t>
  </si>
  <si>
    <t>90 Minutes</t>
  </si>
  <si>
    <t>60</t>
  </si>
  <si>
    <t>36 (60%)</t>
  </si>
  <si>
    <t>Month 2 Assessment</t>
  </si>
  <si>
    <t>End of Week 8</t>
  </si>
  <si>
    <t>20 MCQ + SQL practical (30 min) + Power BI task (30 min)</t>
  </si>
  <si>
    <t>SQL JOINs, Subqueries, CTEs, Window Functions, Power BI data modeling, DAX (basic to advanced), Time Intelligence</t>
  </si>
  <si>
    <t>120 Minutes</t>
  </si>
  <si>
    <t>80</t>
  </si>
  <si>
    <t>48 (60%)</t>
  </si>
  <si>
    <t>Month 3 Assessment</t>
  </si>
  <si>
    <t>End of Week 12</t>
  </si>
  <si>
    <t>30 MCQ + SQL task (30 min) + Power BI task (30 min) + Python task (20 min)</t>
  </si>
  <si>
    <t>Full program: Advanced SQL, Power BI dashboards, DAX, Python Pandas/EDA, Tableau basics, AI-assisted analytics</t>
  </si>
  <si>
    <t>150 Minutes</t>
  </si>
  <si>
    <t>100</t>
  </si>
  <si>
    <t>65 (65%)</t>
  </si>
  <si>
    <t>GRADING &amp; CERTIFICATION CRITERIA</t>
  </si>
  <si>
    <t>Component</t>
  </si>
  <si>
    <t>Weightage</t>
  </si>
  <si>
    <t>Minimum Requirement</t>
  </si>
  <si>
    <t>Details</t>
  </si>
  <si>
    <t>Weekly Assignments (12 weeks)</t>
  </si>
  <si>
    <t>30%</t>
  </si>
  <si>
    <t>Submit all 12</t>
  </si>
  <si>
    <t>Best 10 counted for marks; late submission = 10% deduction per day</t>
  </si>
  <si>
    <t>Monthly Assessments (3 tests)</t>
  </si>
  <si>
    <t>Pass all 3</t>
  </si>
  <si>
    <t>M1: 60 marks (pass 60%) | M2: 80 marks (pass 60%) | M3: 100 marks (pass 65%)</t>
  </si>
  <si>
    <t>Project 1 – MIS Dashboard</t>
  </si>
  <si>
    <t>15%</t>
  </si>
  <si>
    <t>Mandatory submit</t>
  </si>
  <si>
    <t>Evaluated on 5-criteria rubric (100 marks internally, scaled to 15%)</t>
  </si>
  <si>
    <t>Project 2 – Capstone Project</t>
  </si>
  <si>
    <t>25%</t>
  </si>
  <si>
    <t>Evaluated on 6-criteria rubric (200 marks internally, scaled to 25%)</t>
  </si>
  <si>
    <t>TOTAL</t>
  </si>
  <si>
    <t>100%</t>
  </si>
  <si>
    <t>All components</t>
  </si>
  <si>
    <t>PASS: 60%+ overall | DISTINCTION: 80%+ overall | Certificate issued on completion</t>
  </si>
  <si>
    <t>PROJECT 1: MIS EXECUTIVE DASHBOARD PROJECT</t>
  </si>
  <si>
    <t>Industry: Manufacturing | Primary Tools: Excel + Advanced Excel | Supporting Tool: SQL (optional queries)</t>
  </si>
  <si>
    <t>BUSINESS SCENARIO</t>
  </si>
  <si>
    <t>Company</t>
  </si>
  <si>
    <t>PrecisionParts Pvt. Ltd. — mid-sized auto-component manufacturer with 3 plants</t>
  </si>
  <si>
    <t>Challenge</t>
  </si>
  <si>
    <t>Management reviews performance monthly but receives fragmented Excel files from Production, Quality, Sales, and HR teams. There is no unified view. Decisions are delayed and inconsistent.</t>
  </si>
  <si>
    <t>Student Role</t>
  </si>
  <si>
    <t>You are the newly hired MIS Executive. Design a consolidated Monthly MIS Dashboard reviewed by the Management Committee on the 1st of every month.</t>
  </si>
  <si>
    <t>Reporting Period</t>
  </si>
  <si>
    <t>Jan–Dec 2024 (12 months of historical data)</t>
  </si>
  <si>
    <t>DATASET STRUCTURE</t>
  </si>
  <si>
    <t>Table 1: Production</t>
  </si>
  <si>
    <t>Date | Plant | ShiftID | Product_Code | Planned_Units | Actual_Units | Downtime_Hours | Operator_Count (~2,400 rows)</t>
  </si>
  <si>
    <t>Table 2: Quality Control</t>
  </si>
  <si>
    <t>Date | Batch_ID | Product_Code | Total_Inspected | Defect_Count | Defect_Type | Inspector_ID (~1,800 rows)</t>
  </si>
  <si>
    <t>Table 3: Sales</t>
  </si>
  <si>
    <t>Date | Customer_ID | Region | Product_Code | Units_Sold | Unit_Price | Discount% | Invoice_Value (~1,500 rows)</t>
  </si>
  <si>
    <t>Table 4: HR Metrics</t>
  </si>
  <si>
    <t>Month | Department | Headcount | Absenteeism_Rate | Attrition_Count | Training_Hours (~120 rows)</t>
  </si>
  <si>
    <t>REQUIRED DELIVERABLES (6 Tabs)</t>
  </si>
  <si>
    <t>Tab 1 – Raw Data</t>
  </si>
  <si>
    <t>All 4 tables loaded via Power Query; data types correct; no nulls in key columns; clear table names</t>
  </si>
  <si>
    <t>Tab 2 – Production Summary</t>
  </si>
  <si>
    <t>Pivot Table + chart: production efficiency by plant and month; downtime analysis; utilization rate</t>
  </si>
  <si>
    <t>Tab 3 – Quality Summary</t>
  </si>
  <si>
    <t>Defect rate trend (line chart); top-3 defect types (bar chart); batch-level analysis; first-pass yield</t>
  </si>
  <si>
    <t>Tab 4 – Sales Summary</t>
  </si>
  <si>
    <t>Region-wise revenue (bar chart); monthly trend (line chart); top-10 customers by invoice value; discount analysis</t>
  </si>
  <si>
    <t>Tab 5 – HR Summary</t>
  </si>
  <si>
    <t>Headcount trend; monthly attrition rate; absenteeism by department; training hours vs attrition scatter</t>
  </si>
  <si>
    <t>Tab 6 – MASTER DASHBOARD</t>
  </si>
  <si>
    <t>Single-page executive view: 8 KPI cards + 4 charts + slicers for Plant / Month / Region; print-ready; cover page</t>
  </si>
  <si>
    <t>KPIs TO BUILD (8 KPIs)</t>
  </si>
  <si>
    <t>Production Efficiency %</t>
  </si>
  <si>
    <t>Defect Rate %</t>
  </si>
  <si>
    <t>First Pass Yield %</t>
  </si>
  <si>
    <t>Net Revenue (₹ Lakhs)</t>
  </si>
  <si>
    <t>Sales Achievement %</t>
  </si>
  <si>
    <t>Attrition Rate %</t>
  </si>
  <si>
    <t>Absenteeism Rate %</t>
  </si>
  <si>
    <t>Downtime Hours</t>
  </si>
  <si>
    <t>EVALUATION RUBRIC (100 Marks)</t>
  </si>
  <si>
    <t>Data Import &amp; Cleaning (20 marks)</t>
  </si>
  <si>
    <t>Power Query used (10) | No errors/blanks in final model (5) | Data types and column names correct (5)</t>
  </si>
  <si>
    <t>Calculations &amp; Formulas (20 marks)</t>
  </si>
  <si>
    <t>All 8 KPIs calculated correctly (15) | IFERROR error handling applied (5)</t>
  </si>
  <si>
    <t>Dashboard Design (25 marks)</t>
  </si>
  <si>
    <t>Professional layout with clear zones (10) | Correct chart types for each KPI (10) | Slicers work correctly (5)</t>
  </si>
  <si>
    <t>Business Accuracy (20 marks)</t>
  </si>
  <si>
    <t>KPI values validated against source data (10) | Correct aggregation logic (10)</t>
  </si>
  <si>
    <t>Presentation Quality (15 marks)</t>
  </si>
  <si>
    <t>Print-ready format (5) | Cover page with date and company name (5) | File named correctly (5)</t>
  </si>
  <si>
    <t>PROJECT 2: END-TO-END DATA ANALYST CAPSTONE PROJECT</t>
  </si>
  <si>
    <t>Industry: BFSI (Banking) | Tools: SQL + Python + Power BI + Excel | Full Data Analyst Workflow</t>
  </si>
  <si>
    <t>NovaBanc — mid-sized private sector bank with 200 branches across 5 zones in India</t>
  </si>
  <si>
    <t>Business Problem</t>
  </si>
  <si>
    <t>The retail loan portfolio shows rising delinquency and unexpected customer churn in Q3–Q4 2024. Management needs data-driven analysis to: (1) identify risk factors, (2) segment customers by risk, (3) analyze branch performance, (4) build a monitoring dashboard</t>
  </si>
  <si>
    <t>Junior Data Analyst in the Business Intelligence team. You conduct an end-to-end analysis and present findings to the Retail Banking Head.</t>
  </si>
  <si>
    <t>Data Period</t>
  </si>
  <si>
    <t>Jan 2023 – Dec 2024 (24 months of transactional and customer data)</t>
  </si>
  <si>
    <t>DATASET STRUCTURE (5 Tables)</t>
  </si>
  <si>
    <t>Fact_Loans (5,000 rows)</t>
  </si>
  <si>
    <t>Loan_ID | Customer_ID | Branch_ID | Loan_Type | Disbursement_Date | Amount | Tenure_Months | Interest_Rate | EMI_Amount | Status (Active/Closed/Delinquent)</t>
  </si>
  <si>
    <t>Dim_Customer (3,500 rows)</t>
  </si>
  <si>
    <t>Customer_ID | Age | Gender | City | Income_Band | Credit_Score | Employment_Type | Relationship_Years</t>
  </si>
  <si>
    <t>Dim_Branch (200 rows)</t>
  </si>
  <si>
    <t>Branch_ID | Branch_Name | Zone | State | Branch_Type (Urban/Semi/Rural) | Manager_ID</t>
  </si>
  <si>
    <t>Fact_Transactions (20,000 rows)</t>
  </si>
  <si>
    <t>Transaction_ID | Customer_ID | Date | Transaction_Type | Channel | Amount</t>
  </si>
  <si>
    <t>Calendar Table</t>
  </si>
  <si>
    <t>Full date table: Jan 2023–Dec 2024 with Year, Quarter, Month, Week columns — mark as Date Table in Power BI</t>
  </si>
  <si>
    <t>ANALYSIS TASKS BY TOOL</t>
  </si>
  <si>
    <t>SQL (4 Required Queries)</t>
  </si>
  <si>
    <t>1) Delinquency rate by branch zone and loan type (CTE + Window Function); 2) Customer segments with highest default risk (Income Band × Credit Score × Loan Type cross-analysis); 3) Month-over-month loan disbursement trend using LAG(); 4) Top-10 branches by portfolio quality score (% performing loans, ranked)</t>
  </si>
  <si>
    <t>Python EDA (4 Tasks)</t>
  </si>
  <si>
    <t>1) Merge Dim_Customer + Fact_Loans; full EDA — distributions, outliers, correlations; 2) Credit score vs delinquency correlation + scatter plot; 3) Customer risk segmentation using GroupBy on Income Band + Employment Type; 4) 6 visualizations: bar, scatter, heatmap, histogram, boxplot, line — all with business insight captions</t>
  </si>
  <si>
    <t>Power BI (3-Page Dashboard)</t>
  </si>
  <si>
    <t>Page 1: Portfolio Overview — total loans, delinquency %, active/closed/delinquent split by zone and loan type; Page 2: Customer Analytics — demographics, income band distribution, credit score bands, risk segments; Page 3: Branch Performance — zone-wise comparison, performance trend, drill-through to individual branch detail</t>
  </si>
  <si>
    <t>Excel Support Analysis</t>
  </si>
  <si>
    <t>1) Loan summary Pivot Table by Zone × Loan Type; 2) Customer risk matrix (heat map conditional formatting — Credit Score vs Income Band); 3) 6-month EMI collection forecast using TREND or FORECAST function; format all for management review</t>
  </si>
  <si>
    <t>DELIVERABLES CHECKLIST</t>
  </si>
  <si>
    <t>1. SQL Script (.sql)</t>
  </si>
  <si>
    <t>4 analytical queries with business problem comments before each query + output screenshots</t>
  </si>
  <si>
    <t>2. Python Notebook (.ipynb)</t>
  </si>
  <si>
    <t>Full EDA with 6 visualizations, correlation analysis, risk segmentation, and markdown commentary throughout</t>
  </si>
  <si>
    <t>3. Power BI Dashboard (.pbix)</t>
  </si>
  <si>
    <t>3-page executive dashboard, minimum 12 visuals, 6 DAX measures (including 2 Time Intelligence), published to Power BI Service</t>
  </si>
  <si>
    <t>4. Excel Support File (.xlsx)</t>
  </si>
  <si>
    <t>Pivot Table + Risk Matrix + EMI Forecast — formatted for management review</t>
  </si>
  <si>
    <t>5. Executive Summary (PDF)</t>
  </si>
  <si>
    <t>500-word written summary: problem statement, analytical approach, 3 key findings with evidence, 3 recommendations</t>
  </si>
  <si>
    <t>6. Presentation (10 min)</t>
  </si>
  <si>
    <t>Live or recorded: business problem → data approach → dashboard demo → key findings → recommendations → Q&amp;A</t>
  </si>
  <si>
    <t>KPIs TO ANALYZE (8 KPIs)</t>
  </si>
  <si>
    <t>Delinquency Rate %</t>
  </si>
  <si>
    <t>Portfolio at Risk (PAR30)</t>
  </si>
  <si>
    <t>Customer Acquisition (Monthly)</t>
  </si>
  <si>
    <t>Branch Efficiency Score</t>
  </si>
  <si>
    <t>Transaction Frequency</t>
  </si>
  <si>
    <t>Credit Score Band Distribution</t>
  </si>
  <si>
    <t>% of portfolio in: &lt;600 | 600–700 | 700–750 | 750+ bands</t>
  </si>
  <si>
    <t>Zone-Wise Risk Index</t>
  </si>
  <si>
    <t>MoM Loan Disbursement Growth</t>
  </si>
  <si>
    <t>EVALUATION RUBRIC (200 Marks)</t>
  </si>
  <si>
    <t>SQL Analysis Quality (40 marks)</t>
  </si>
  <si>
    <t>Query correctness (20) | Business relevance of insights (10) | Use of CTEs and Window Functions (10)</t>
  </si>
  <si>
    <t>Python EDA Depth (40 marks)</t>
  </si>
  <si>
    <t>Data cleaning quality (10) | Visualization quality and labeling (15) | Depth of insights derived (15)</t>
  </si>
  <si>
    <t>Power BI Dashboard Design (60 marks)</t>
  </si>
  <si>
    <t>Data modeling correctness (15) | DAX measure accuracy (20) | Dashboard UX, layout, and storytelling (25)</t>
  </si>
  <si>
    <t>Excel Support Analysis (20 marks)</t>
  </si>
  <si>
    <t>Pivot Table accuracy (10) | Forecast logic correctness (10)</t>
  </si>
  <si>
    <t>Executive Summary (25 marks)</t>
  </si>
  <si>
    <t>Clarity and conciseness (10) | Finding accuracy and evidence (10) | Recommendation quality (5)</t>
  </si>
  <si>
    <t>Presentation &amp; Q&amp;A (15 marks)</t>
  </si>
  <si>
    <t>Story structure (5) | Dashboard demo fluency (5) | Q&amp;A response quality (5)</t>
  </si>
  <si>
    <t>SKILL OUTCOME MATRIX — TOOL × JOB ROLE × TRACK MAPPING</t>
  </si>
  <si>
    <t>Skill / Tool</t>
  </si>
  <si>
    <t>Track</t>
  </si>
  <si>
    <t>Week Introduced</t>
  </si>
  <si>
    <t>Week Proficient</t>
  </si>
  <si>
    <t>Jr BI Analyst</t>
  </si>
  <si>
    <t>Notes</t>
  </si>
  <si>
    <t>Excel Formulas (Core)</t>
  </si>
  <si>
    <t>BA Core</t>
  </si>
  <si>
    <t>✓ Core</t>
  </si>
  <si>
    <t>✓ CRITICAL</t>
  </si>
  <si>
    <t>✓ Supporting</t>
  </si>
  <si>
    <t>Mandatory for MIS Executive</t>
  </si>
  <si>
    <t>VLOOKUP / INDEX-MATCH</t>
  </si>
  <si>
    <t>Top MIS Executive interview question</t>
  </si>
  <si>
    <t>Pivot Tables &amp; Charts</t>
  </si>
  <si>
    <t>Non-negotiable for MIS roles</t>
  </si>
  <si>
    <t>MIS Dashboard Design</t>
  </si>
  <si>
    <t>Core deliverable for MIS Executive</t>
  </si>
  <si>
    <t>Power Query</t>
  </si>
  <si>
    <t>Automates data pipeline — high value</t>
  </si>
  <si>
    <t>Power Pivot &amp; DAX (Excel)</t>
  </si>
  <si>
    <t>4</t>
  </si>
  <si>
    <t>Excel's data modeling capability</t>
  </si>
  <si>
    <t>VBA Macros</t>
  </si>
  <si>
    <t>–</t>
  </si>
  <si>
    <t>MIS automation — frequent job requirement</t>
  </si>
  <si>
    <t>SQL (SELECT to GROUP BY)</t>
  </si>
  <si>
    <t>5</t>
  </si>
  <si>
    <t>Universal analyst skill</t>
  </si>
  <si>
    <t>SQL JOINs + Subqueries</t>
  </si>
  <si>
    <t>Most common SQL interview category</t>
  </si>
  <si>
    <t>SQL CTEs + Window Functions</t>
  </si>
  <si>
    <t>✓ Advanced</t>
  </si>
  <si>
    <t>Senior DA differentiator skill</t>
  </si>
  <si>
    <t>Power BI Data Modeling</t>
  </si>
  <si>
    <t>7</t>
  </si>
  <si>
    <t>9</t>
  </si>
  <si>
    <t>Star schema knowledge = BI readiness</t>
  </si>
  <si>
    <t>DAX (Basic to Advanced)</t>
  </si>
  <si>
    <t>CALCULATE = most tested DAX concept</t>
  </si>
  <si>
    <t>Power BI Executive Dashboards</t>
  </si>
  <si>
    <t>8</t>
  </si>
  <si>
    <t>Portfolio centerpiece for BI roles</t>
  </si>
  <si>
    <t>Secondary BI tool — good for portfolio</t>
  </si>
  <si>
    <t>11</t>
  </si>
  <si>
    <t>Entry to Python — shows learning ability</t>
  </si>
  <si>
    <t>Pandas / Data Cleaning</t>
  </si>
  <si>
    <t>Most valued Python skill for DA roles</t>
  </si>
  <si>
    <t>EDA &amp; Visualization (Python)</t>
  </si>
  <si>
    <t>Differentiates DA from MIS candidates</t>
  </si>
  <si>
    <t>Modern workplace productivity skill</t>
  </si>
  <si>
    <t>DA Add-On</t>
  </si>
  <si>
    <t>Add-On</t>
  </si>
  <si>
    <t>Tests in mid-large company DA interviews</t>
  </si>
  <si>
    <t>Business-framed stats tests</t>
  </si>
  <si>
    <t>✓ Exposure</t>
  </si>
  <si>
    <t>Awareness level — 2-3 hours only</t>
  </si>
  <si>
    <t>COLOUR LEGEND FOR SKILL IMPORTANCE</t>
  </si>
  <si>
    <t>Mandatory for this role — will be tested in every interview; must be job-ready</t>
  </si>
  <si>
    <t>Important and expected — included in job descriptions; should demonstrate in portfolio</t>
  </si>
  <si>
    <t>Above-average competency for this role — strong differentiator</t>
  </si>
  <si>
    <t>Useful complementary skill — adds value to profile</t>
  </si>
  <si>
    <t>Basic awareness level — good to mention, not deeply tested</t>
  </si>
  <si>
    <t>Not typically required for this role</t>
  </si>
  <si>
    <t>TRAINER DELIVERY NOTES &amp; GUIDELINES</t>
  </si>
  <si>
    <t>CORE DELIVERY PRINCIPLES</t>
  </si>
  <si>
    <t>Employability First</t>
  </si>
  <si>
    <t>Every session must open with: 'Here is exactly how this skill appears in a Data Analyst / MIS Executive job description.' Pin the relevance before the content.</t>
  </si>
  <si>
    <t>70:30 Ratio</t>
  </si>
  <si>
    <t>70% hands-on practice, 30% concept — never exceed 25 continuous minutes of theory. If you are still on slides after 20 minutes, stop and open a dataset.</t>
  </si>
  <si>
    <t>Dataset Rotation</t>
  </si>
  <si>
    <t>Rotate across Healthcare, Banking, Manufacturing, Telecom, Education — this builds domain awareness and prevents monotony. Students will work with all 5 sectors across 12 weeks.</t>
  </si>
  <si>
    <t>Demo-Then-Do</t>
  </si>
  <si>
    <t>Always demonstrate on a live dataset first, then give students the activity dataset. Never ask students to discover concepts independently in class — that is for assignments.</t>
  </si>
  <si>
    <t>Error Culture</t>
  </si>
  <si>
    <t>Normalize errors. Say: 'An error here means your reference is off by one row — this is exactly what you will debug on the job.' Debugging IS the skill.</t>
  </si>
  <si>
    <t>AI as Co-Pilot</t>
  </si>
  <si>
    <t>Demonstrate AI (ChatGPT / Claude) in at least 1 session per week as a productivity tool. Always show: use AI → validate output → improve output. Never: use AI → trust blindly.</t>
  </si>
  <si>
    <t>WEEK-BY-WEEK TRAINER GUIDANCE</t>
  </si>
  <si>
    <t>Weeks 1–2 (Excel)</t>
  </si>
  <si>
    <t>Start slowly — 40% of students struggle with cell references. Spend extra time on VLOOKUP (most common MIS interview topic). The Week 2 dashboard session is a confidence peak — use it intentionally.</t>
  </si>
  <si>
    <t>Weeks 3–4 (Adv Excel + SQL Intro)</t>
  </si>
  <si>
    <t>Power Query is the #1 confusion point — use the demo-first approach twice before giving activity. For SQL: use MySQL Workbench with a PRE-LOADED database. Do not set up databases in class time.</t>
  </si>
  <si>
    <t>Weeks 5–6 (SQL Intermediate–Advanced)</t>
  </si>
  <si>
    <t>JOINs: draw Venn diagrams on whiteboard before any code. Window Functions: use a 5-row example on whiteboard first, no exceptions. SQL interview simulation in Week 6 Friday is critical — enforce time limits.</t>
  </si>
  <si>
    <t>Weeks 7–9 (Power BI)</t>
  </si>
  <si>
    <t>DAX is the hardest concept in the course — budget 30% extra explanation time. Star schema: draw on whiteboard with physical markers. CALCULATE: explain filter context with a 3-row table, not with a formula.</t>
  </si>
  <si>
    <t>Week 10 (Tableau)</t>
  </si>
  <si>
    <t>Tableau is exploration-focused — give students time to discover. Comparison moment: 'Power BI vs Tableau — when would a company choose which?' is a common interview question. Cover this explicitly.</t>
  </si>
  <si>
    <t>Week 11 (Python)</t>
  </si>
  <si>
    <t>Expect anxiety. Reassure: 'Python is automated Excel — everything you already know how to do in Excel, Python does faster on 1 million rows.' Jupyter setup MUST be done before class — send instructions 3 days in advance.</t>
  </si>
  <si>
    <t>Week 12 (Capstone + Final)</t>
  </si>
  <si>
    <t>Presentations: enforce 10-minute limit strictly. Evaluate on: business framing, dashboard clarity, insight quality — not tool usage. AI session should be fun — not high-stakes.</t>
  </si>
  <si>
    <t>COMMON CHALLENGES &amp; SOLUTIONS</t>
  </si>
  <si>
    <t>VLOOKUP errors</t>
  </si>
  <si>
    <t>Solution: Teach table_array with absolute reference ($B$2:$D$100) from Day 1. Do not let students proceed until they understand why $ is needed.</t>
  </si>
  <si>
    <t>SQL JOIN confusion</t>
  </si>
  <si>
    <t>Solution: Physical exercise — give students index cards with data rows; have them manually match by Customer_ID. Once they feel it physically, the syntax makes sense.</t>
  </si>
  <si>
    <t>Power BI DAX context</t>
  </si>
  <si>
    <t>Solution: Never skip the 'filter context vs row context' explanation. Use a 3-row table: Country, Sales. Show how CALCULATE changes what rows are 'visible.' No exceptions.</t>
  </si>
  <si>
    <t>Python anxiety</t>
  </si>
  <si>
    <t>Solution: First Python win should happen in the first 10 minutes: x = 5+3 → print(x). Then escalate very gradually. Never show complex code first.</t>
  </si>
  <si>
    <t>Weak dashboard design</t>
  </si>
  <si>
    <t>Solution: Show 3 bad dashboards and 3 good dashboards. Have students vote on which is better and explain why, before they build their own. Design sense comes from critique, not instruction.</t>
  </si>
  <si>
    <t>Assignment delays</t>
  </si>
  <si>
    <t>Solution: Review weekly assignments in the first 15 minutes of the following Wednesday session. Accountability is created by public review, not private feedback only.</t>
  </si>
  <si>
    <t>INTERNSHIP &amp; JOB READINESS MILESTONES</t>
  </si>
  <si>
    <t>After Week 4 (Excel + SQL basics)</t>
  </si>
  <si>
    <t>INTERNSHIP READY: Excel MIS Executive internship. Can build MIS reports, clean data, write basic SQL queries, automate with VBA.</t>
  </si>
  <si>
    <t>After Week 6 (SQL advanced)</t>
  </si>
  <si>
    <t>INTERNSHIP READY: SQL / Data Analyst internship. Can write JOINs, CTEs, Window Functions — passes most SQL screening tests.</t>
  </si>
  <si>
    <t>After Week 9 (Power BI complete)</t>
  </si>
  <si>
    <t>INTERNSHIP READY: BI / Analytics internship. Can build Power BI dashboards with data modeling and Time Intelligence DAX.</t>
  </si>
  <si>
    <t>After Week 12 (Full program)</t>
  </si>
  <si>
    <t>JOB READY: Data Analyst / MIS Executive / Reporting Analyst. Full portfolio: MIS Dashboard + Capstone Project + Python EDA + Published Power BI.</t>
  </si>
  <si>
    <t>Minimum Portfolio</t>
  </si>
  <si>
    <t>1 MIS Dashboard (Excel .xlsx) | 1 Power BI dashboard (.pbix published) | 1 Python EDA (.ipynb on GitHub) | 1 Capstone project folder</t>
  </si>
  <si>
    <t>LinkedIn Skills to Add</t>
  </si>
  <si>
    <t>SQL | Power BI | Advanced Excel | Python (Pandas) | Data Visualization | DAX | Tableau | Data Cleaning | MIS Reporting | EDA</t>
  </si>
  <si>
    <t>DA ADD-ON TRACK — TRAINER NOTES</t>
  </si>
  <si>
    <t>When to Schedule</t>
  </si>
  <si>
    <t>Option A: Immediately after Week 7 (inserts between SQL and Power BI) — good for cohorts strong in SQL. Option B: After Week 12 as a weekend session — cleanest separation. Option C: As standalone upgrade for program alumni.</t>
  </si>
  <si>
    <t>Statistics Session Tone</t>
  </si>
  <si>
    <t>Business context is EVERYTHING. Every formula must be tied to a business decision: 'We run a t-test because the marketing team claims the new discount increases sales — we need to prove or disprove this.'</t>
  </si>
  <si>
    <t>SPSS Session Expectation</t>
  </si>
  <si>
    <t>This is a 2-hour exposure session — not a training session. Goal: students leave knowing what SPSS is, how to open it, and how to run a basic test. Do NOT go deep into SPSS — it is not a core placement tool.</t>
  </si>
  <si>
    <t>Hypothesis Testing Framing</t>
  </si>
  <si>
    <t>Teach the business problem first. Then select the test. Students must be able to say: 'I use a t-test when I want to compare the average of two groups, and here is the business reason I would do that.'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</si>
</sst>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2E75B6"/>
      <name val="Arial"/>
      <family val="2"/>
    </font>
    <font>
      <b/>
      <sz val="10"/>
      <color rgb="FF375623"/>
      <name val="Arial"/>
      <family val="2"/>
    </font>
    <font>
      <b/>
      <sz val="10"/>
      <color rgb="FFC55A11"/>
      <name val="Arial"/>
      <family val="2"/>
    </font>
    <font>
      <b/>
      <sz val="10"/>
      <color rgb="FFC00000"/>
      <name val="Arial"/>
      <family val="2"/>
    </font>
    <font>
      <b/>
      <sz val="10"/>
      <color rgb="FF808080"/>
      <name val="Arial"/>
      <family val="2"/>
    </font>
    <font>
      <b/>
      <sz val="10"/>
      <color rgb="FF7030A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1F6B75"/>
        <bgColor rgb="FF1F6B75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EAD1FF"/>
        <bgColor rgb="FFEAD1F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D9D9D9"/>
        <bgColor rgb="FFD9D9D9"/>
      </patternFill>
    </fill>
    <fill>
      <patternFill patternType="solid">
        <fgColor rgb="FFC55A11"/>
        <bgColor rgb="FFC55A11"/>
      </patternFill>
    </fill>
    <fill>
      <patternFill patternType="solid">
        <fgColor rgb="FFFFDAD9"/>
        <bgColor rgb="FFFFDAD9"/>
      </patternFill>
    </fill>
    <fill>
      <patternFill patternType="solid">
        <fgColor rgb="FFDDEBF7"/>
        <bgColor rgb="FFDDEBF7"/>
      </patternFill>
    </fill>
    <fill>
      <patternFill patternType="solid">
        <fgColor rgb="FFDEEAF1"/>
        <bgColor rgb="FFDEEAF1"/>
      </patternFill>
    </fill>
    <fill>
      <patternFill patternType="solid">
        <fgColor rgb="FF7030A0"/>
        <bgColor rgb="FF7030A0"/>
      </patternFill>
    </fill>
  </fills>
  <borders count="5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4" fontId="4" fillId="6" borderId="2" xfId="0" applyNumberFormat="1" applyFont="1" applyFill="1" applyBorder="1" applyAlignment="1">
      <alignment horizontal="left" vertical="center" wrapText="1"/>
    </xf>
    <xf numFmtId="164" fontId="4" fillId="7" borderId="2" xfId="0" applyNumberFormat="1" applyFont="1" applyFill="1" applyBorder="1" applyAlignment="1">
      <alignment horizontal="left" vertical="center" wrapText="1"/>
    </xf>
    <xf numFmtId="164" fontId="4" fillId="8" borderId="2" xfId="0" applyNumberFormat="1" applyFont="1" applyFill="1" applyBorder="1" applyAlignment="1">
      <alignment horizontal="left" vertical="center" wrapText="1"/>
    </xf>
    <xf numFmtId="164" fontId="4" fillId="10" borderId="2" xfId="0" applyNumberFormat="1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164" fontId="4" fillId="14" borderId="2" xfId="0" applyNumberFormat="1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center" vertical="center" wrapText="1"/>
    </xf>
    <xf numFmtId="164" fontId="4" fillId="9" borderId="2" xfId="0" applyNumberFormat="1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164" fontId="4" fillId="16" borderId="2" xfId="0" applyNumberFormat="1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164" fontId="4" fillId="17" borderId="2" xfId="0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8" borderId="2" xfId="0" applyFont="1" applyFill="1" applyBorder="1" applyAlignment="1">
      <alignment horizontal="left" vertical="center" wrapText="1"/>
    </xf>
    <xf numFmtId="0" fontId="9" fillId="18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11" fillId="16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9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opLeftCell="A17" workbookViewId="0">
      <selection activeCell="C32" sqref="C32"/>
    </sheetView>
  </sheetViews>
  <sheetFormatPr defaultRowHeight="14.4" x14ac:dyDescent="0.3"/>
  <cols>
    <col min="1" max="1" width="24" customWidth="1"/>
    <col min="2" max="2" width="28" customWidth="1"/>
    <col min="3" max="3" width="38" customWidth="1"/>
    <col min="4" max="4" width="20" customWidth="1"/>
    <col min="5" max="5" width="34.88671875" bestFit="1" customWidth="1"/>
    <col min="6" max="6" width="24" customWidth="1"/>
    <col min="7" max="7" width="10" customWidth="1"/>
  </cols>
  <sheetData>
    <row r="1" spans="1:7" ht="36" customHeight="1" x14ac:dyDescent="0.3">
      <c r="A1" s="71" t="s">
        <v>0</v>
      </c>
      <c r="B1" s="68"/>
      <c r="C1" s="68"/>
      <c r="D1" s="68"/>
      <c r="E1" s="68"/>
      <c r="F1" s="68"/>
      <c r="G1" s="68"/>
    </row>
    <row r="2" spans="1:7" ht="22.05" customHeight="1" x14ac:dyDescent="0.3">
      <c r="A2" s="72" t="s">
        <v>1</v>
      </c>
      <c r="B2" s="68"/>
      <c r="C2" s="68"/>
      <c r="D2" s="68"/>
      <c r="E2" s="68"/>
      <c r="F2" s="68"/>
      <c r="G2" s="68"/>
    </row>
    <row r="4" spans="1:7" ht="22.05" customHeight="1" x14ac:dyDescent="0.3">
      <c r="A4" s="67" t="s">
        <v>2</v>
      </c>
      <c r="B4" s="68"/>
      <c r="C4" s="68"/>
      <c r="D4" s="68"/>
      <c r="E4" s="68"/>
      <c r="F4" s="68"/>
      <c r="G4" s="68"/>
    </row>
    <row r="5" spans="1:7" ht="19.95" customHeight="1" x14ac:dyDescent="0.3">
      <c r="A5" s="1"/>
      <c r="B5" s="1" t="s">
        <v>3</v>
      </c>
      <c r="C5" s="1"/>
      <c r="D5" s="1"/>
      <c r="E5" s="1" t="s">
        <v>4</v>
      </c>
      <c r="F5" s="1"/>
      <c r="G5" s="1"/>
    </row>
    <row r="6" spans="1:7" ht="22.05" customHeight="1" x14ac:dyDescent="0.3">
      <c r="A6" s="2" t="s">
        <v>5</v>
      </c>
      <c r="B6" s="66" t="s">
        <v>6</v>
      </c>
      <c r="C6" s="62"/>
      <c r="D6" s="63"/>
      <c r="E6" s="66" t="s">
        <v>7</v>
      </c>
      <c r="F6" s="62"/>
      <c r="G6" s="63"/>
    </row>
    <row r="7" spans="1:7" ht="22.05" customHeight="1" x14ac:dyDescent="0.3">
      <c r="A7" s="3" t="s">
        <v>8</v>
      </c>
      <c r="B7" s="70" t="s">
        <v>9</v>
      </c>
      <c r="C7" s="62"/>
      <c r="D7" s="63"/>
      <c r="E7" s="70" t="s">
        <v>10</v>
      </c>
      <c r="F7" s="62"/>
      <c r="G7" s="63"/>
    </row>
    <row r="8" spans="1:7" ht="22.05" customHeight="1" x14ac:dyDescent="0.3">
      <c r="A8" s="2" t="s">
        <v>11</v>
      </c>
      <c r="B8" s="66" t="s">
        <v>12</v>
      </c>
      <c r="C8" s="62"/>
      <c r="D8" s="63"/>
      <c r="E8" s="66" t="s">
        <v>13</v>
      </c>
      <c r="F8" s="62"/>
      <c r="G8" s="63"/>
    </row>
    <row r="9" spans="1:7" ht="22.05" customHeight="1" x14ac:dyDescent="0.3">
      <c r="A9" s="4" t="s">
        <v>14</v>
      </c>
      <c r="B9" s="69" t="s">
        <v>15</v>
      </c>
      <c r="C9" s="62"/>
      <c r="D9" s="63"/>
      <c r="E9" s="69" t="s">
        <v>16</v>
      </c>
      <c r="F9" s="62"/>
      <c r="G9" s="63"/>
    </row>
    <row r="10" spans="1:7" ht="22.05" customHeight="1" x14ac:dyDescent="0.3">
      <c r="A10" s="5" t="s">
        <v>17</v>
      </c>
      <c r="B10" s="64" t="s">
        <v>18</v>
      </c>
      <c r="C10" s="62"/>
      <c r="D10" s="63"/>
      <c r="E10" s="64" t="s">
        <v>19</v>
      </c>
      <c r="F10" s="62"/>
      <c r="G10" s="63"/>
    </row>
    <row r="11" spans="1:7" ht="22.05" customHeight="1" x14ac:dyDescent="0.3">
      <c r="A11" s="6" t="s">
        <v>20</v>
      </c>
      <c r="B11" s="61" t="s">
        <v>21</v>
      </c>
      <c r="C11" s="62"/>
      <c r="D11" s="63"/>
      <c r="E11" s="61" t="s">
        <v>22</v>
      </c>
      <c r="F11" s="62"/>
      <c r="G11" s="63"/>
    </row>
    <row r="13" spans="1:7" ht="22.05" customHeight="1" x14ac:dyDescent="0.3">
      <c r="A13" s="67" t="s">
        <v>23</v>
      </c>
      <c r="B13" s="68"/>
      <c r="C13" s="68"/>
      <c r="D13" s="68"/>
      <c r="E13" s="68"/>
      <c r="F13" s="68"/>
      <c r="G13" s="68"/>
    </row>
    <row r="14" spans="1:7" ht="19.95" customHeight="1" x14ac:dyDescent="0.3">
      <c r="A14" s="7" t="s">
        <v>24</v>
      </c>
      <c r="B14" s="65" t="s">
        <v>25</v>
      </c>
      <c r="C14" s="62"/>
      <c r="D14" s="62"/>
      <c r="E14" s="62"/>
      <c r="F14" s="62"/>
      <c r="G14" s="63"/>
    </row>
    <row r="15" spans="1:7" ht="19.95" customHeight="1" x14ac:dyDescent="0.3">
      <c r="A15" s="7" t="s">
        <v>26</v>
      </c>
      <c r="B15" s="65" t="s">
        <v>27</v>
      </c>
      <c r="C15" s="62"/>
      <c r="D15" s="62"/>
      <c r="E15" s="62"/>
      <c r="F15" s="62"/>
      <c r="G15" s="63"/>
    </row>
    <row r="16" spans="1:7" ht="19.95" customHeight="1" x14ac:dyDescent="0.3">
      <c r="A16" s="7" t="s">
        <v>28</v>
      </c>
      <c r="B16" s="65" t="s">
        <v>29</v>
      </c>
      <c r="C16" s="62"/>
      <c r="D16" s="62"/>
      <c r="E16" s="62"/>
      <c r="F16" s="62"/>
      <c r="G16" s="63"/>
    </row>
    <row r="17" spans="1:7" ht="19.95" customHeight="1" x14ac:dyDescent="0.3">
      <c r="A17" s="7" t="s">
        <v>30</v>
      </c>
      <c r="B17" s="65" t="s">
        <v>31</v>
      </c>
      <c r="C17" s="62"/>
      <c r="D17" s="62"/>
      <c r="E17" s="62"/>
      <c r="F17" s="62"/>
      <c r="G17" s="63"/>
    </row>
    <row r="18" spans="1:7" ht="19.95" customHeight="1" x14ac:dyDescent="0.3">
      <c r="A18" s="7" t="s">
        <v>32</v>
      </c>
      <c r="B18" s="65" t="s">
        <v>33</v>
      </c>
      <c r="C18" s="62"/>
      <c r="D18" s="62"/>
      <c r="E18" s="62"/>
      <c r="F18" s="62"/>
      <c r="G18" s="63"/>
    </row>
    <row r="19" spans="1:7" ht="19.95" customHeight="1" x14ac:dyDescent="0.3">
      <c r="A19" s="7" t="s">
        <v>34</v>
      </c>
      <c r="B19" s="65" t="s">
        <v>35</v>
      </c>
      <c r="C19" s="62"/>
      <c r="D19" s="62"/>
      <c r="E19" s="62"/>
      <c r="F19" s="62"/>
      <c r="G19" s="63"/>
    </row>
    <row r="20" spans="1:7" ht="19.95" customHeight="1" x14ac:dyDescent="0.3">
      <c r="A20" s="7" t="s">
        <v>36</v>
      </c>
      <c r="B20" s="65" t="s">
        <v>37</v>
      </c>
      <c r="C20" s="62"/>
      <c r="D20" s="62"/>
      <c r="E20" s="62"/>
      <c r="F20" s="62"/>
      <c r="G20" s="63"/>
    </row>
    <row r="21" spans="1:7" ht="19.95" customHeight="1" x14ac:dyDescent="0.3">
      <c r="A21" s="7" t="s">
        <v>38</v>
      </c>
      <c r="B21" s="65" t="s">
        <v>39</v>
      </c>
      <c r="C21" s="62"/>
      <c r="D21" s="62"/>
      <c r="E21" s="62"/>
      <c r="F21" s="62"/>
      <c r="G21" s="63"/>
    </row>
    <row r="23" spans="1:7" ht="22.05" customHeight="1" x14ac:dyDescent="0.3">
      <c r="A23" s="67" t="s">
        <v>40</v>
      </c>
      <c r="B23" s="68"/>
      <c r="C23" s="68"/>
      <c r="D23" s="68"/>
      <c r="E23" s="68"/>
      <c r="F23" s="68"/>
      <c r="G23" s="68"/>
    </row>
    <row r="24" spans="1:7" ht="18" customHeight="1" x14ac:dyDescent="0.3">
      <c r="A24" s="9" t="s">
        <v>41</v>
      </c>
      <c r="B24" s="9" t="s">
        <v>42</v>
      </c>
      <c r="C24" s="9" t="s">
        <v>43</v>
      </c>
      <c r="D24" s="9" t="s">
        <v>44</v>
      </c>
      <c r="E24" s="9" t="s">
        <v>45</v>
      </c>
      <c r="F24" s="9" t="s">
        <v>46</v>
      </c>
      <c r="G24" s="9"/>
    </row>
    <row r="25" spans="1:7" ht="19.95" customHeight="1" x14ac:dyDescent="0.3">
      <c r="A25" s="2" t="s">
        <v>47</v>
      </c>
      <c r="B25" s="10" t="s">
        <v>48</v>
      </c>
      <c r="C25" s="10" t="s">
        <v>49</v>
      </c>
      <c r="D25" s="10" t="s">
        <v>50</v>
      </c>
      <c r="E25" s="10" t="s">
        <v>51</v>
      </c>
      <c r="F25" s="10" t="s">
        <v>52</v>
      </c>
      <c r="G25" s="10"/>
    </row>
    <row r="26" spans="1:7" ht="19.95" customHeight="1" x14ac:dyDescent="0.3">
      <c r="A26" s="3" t="s">
        <v>53</v>
      </c>
      <c r="B26" s="11" t="s">
        <v>54</v>
      </c>
      <c r="C26" s="11" t="s">
        <v>55</v>
      </c>
      <c r="D26" s="11" t="s">
        <v>56</v>
      </c>
      <c r="E26" s="11" t="s">
        <v>51</v>
      </c>
      <c r="F26" s="11" t="s">
        <v>57</v>
      </c>
      <c r="G26" s="11"/>
    </row>
    <row r="27" spans="1:7" ht="19.95" customHeight="1" x14ac:dyDescent="0.3">
      <c r="A27" s="4" t="s">
        <v>58</v>
      </c>
      <c r="B27" s="12" t="s">
        <v>59</v>
      </c>
      <c r="C27" s="12" t="s">
        <v>60</v>
      </c>
      <c r="D27" s="12" t="s">
        <v>61</v>
      </c>
      <c r="E27" s="12" t="s">
        <v>62</v>
      </c>
      <c r="F27" s="12" t="s">
        <v>57</v>
      </c>
      <c r="G27" s="12"/>
    </row>
    <row r="28" spans="1:7" ht="19.95" customHeight="1" x14ac:dyDescent="0.3">
      <c r="A28" s="5" t="s">
        <v>63</v>
      </c>
      <c r="B28" s="13" t="s">
        <v>64</v>
      </c>
      <c r="C28" s="13" t="s">
        <v>65</v>
      </c>
      <c r="D28" s="13" t="s">
        <v>66</v>
      </c>
      <c r="E28" s="13" t="s">
        <v>62</v>
      </c>
      <c r="F28" s="13" t="s">
        <v>57</v>
      </c>
      <c r="G28" s="13"/>
    </row>
    <row r="29" spans="1:7" ht="19.95" customHeight="1" x14ac:dyDescent="0.3">
      <c r="A29" s="6" t="s">
        <v>67</v>
      </c>
      <c r="B29" s="14" t="s">
        <v>68</v>
      </c>
      <c r="C29" s="14" t="s">
        <v>69</v>
      </c>
      <c r="D29" s="14" t="s">
        <v>70</v>
      </c>
      <c r="E29" s="14" t="s">
        <v>71</v>
      </c>
      <c r="F29" s="14" t="s">
        <v>72</v>
      </c>
      <c r="G29" s="14"/>
    </row>
  </sheetData>
  <mergeCells count="25">
    <mergeCell ref="B21:G21"/>
    <mergeCell ref="A23:G23"/>
    <mergeCell ref="B20:G20"/>
    <mergeCell ref="A1:G1"/>
    <mergeCell ref="B7:D7"/>
    <mergeCell ref="B16:G16"/>
    <mergeCell ref="E8:G8"/>
    <mergeCell ref="A2:G2"/>
    <mergeCell ref="B18:G18"/>
    <mergeCell ref="B19:G19"/>
    <mergeCell ref="E11:G11"/>
    <mergeCell ref="B9:D9"/>
    <mergeCell ref="E7:G7"/>
    <mergeCell ref="B6:D6"/>
    <mergeCell ref="B15:G15"/>
    <mergeCell ref="A4:G4"/>
    <mergeCell ref="E9:G9"/>
    <mergeCell ref="E6:G6"/>
    <mergeCell ref="B10:D10"/>
    <mergeCell ref="A13:G13"/>
    <mergeCell ref="B11:D11"/>
    <mergeCell ref="E10:G10"/>
    <mergeCell ref="B14:G14"/>
    <mergeCell ref="B8:D8"/>
    <mergeCell ref="B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topLeftCell="A10" workbookViewId="0">
      <selection sqref="A1:G1"/>
    </sheetView>
  </sheetViews>
  <sheetFormatPr defaultRowHeight="14.4" x14ac:dyDescent="0.3"/>
  <cols>
    <col min="1" max="1" width="29.88671875" customWidth="1"/>
    <col min="2" max="2" width="16" customWidth="1"/>
    <col min="3" max="3" width="13" customWidth="1"/>
    <col min="4" max="4" width="28.6640625" customWidth="1"/>
    <col min="5" max="5" width="51.21875" customWidth="1"/>
    <col min="6" max="6" width="18" customWidth="1"/>
    <col min="7" max="7" width="48" customWidth="1"/>
  </cols>
  <sheetData>
    <row r="1" spans="1:7" ht="30" customHeight="1" x14ac:dyDescent="0.3">
      <c r="A1" s="75" t="s">
        <v>73</v>
      </c>
      <c r="B1" s="68"/>
      <c r="C1" s="68"/>
      <c r="D1" s="68"/>
      <c r="E1" s="68"/>
      <c r="F1" s="68"/>
      <c r="G1" s="68"/>
    </row>
    <row r="2" spans="1:7" ht="22.05" customHeight="1" x14ac:dyDescent="0.3">
      <c r="A2" s="74" t="s">
        <v>74</v>
      </c>
      <c r="B2" s="68"/>
      <c r="C2" s="68"/>
      <c r="D2" s="68"/>
      <c r="E2" s="68"/>
      <c r="F2" s="68"/>
      <c r="G2" s="68"/>
    </row>
    <row r="3" spans="1:7" ht="18" customHeight="1" x14ac:dyDescent="0.3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45</v>
      </c>
      <c r="G3" s="1" t="s">
        <v>80</v>
      </c>
    </row>
    <row r="4" spans="1:7" ht="28.05" customHeight="1" x14ac:dyDescent="0.3">
      <c r="A4" s="10" t="s">
        <v>81</v>
      </c>
      <c r="B4" s="10" t="s">
        <v>82</v>
      </c>
      <c r="C4" s="15">
        <f t="shared" ref="C4:C10" si="0">B4/72</f>
        <v>0.16666666666666666</v>
      </c>
      <c r="D4" s="10" t="s">
        <v>83</v>
      </c>
      <c r="E4" s="10" t="s">
        <v>84</v>
      </c>
      <c r="F4" s="10" t="s">
        <v>85</v>
      </c>
      <c r="G4" s="10" t="s">
        <v>86</v>
      </c>
    </row>
    <row r="5" spans="1:7" ht="28.05" customHeight="1" x14ac:dyDescent="0.3">
      <c r="A5" s="10" t="s">
        <v>87</v>
      </c>
      <c r="B5" s="10" t="s">
        <v>88</v>
      </c>
      <c r="C5" s="15">
        <f t="shared" si="0"/>
        <v>0.1388888888888889</v>
      </c>
      <c r="D5" s="10" t="s">
        <v>89</v>
      </c>
      <c r="E5" s="10" t="s">
        <v>90</v>
      </c>
      <c r="F5" s="10" t="s">
        <v>85</v>
      </c>
      <c r="G5" s="10" t="s">
        <v>91</v>
      </c>
    </row>
    <row r="6" spans="1:7" ht="28.05" customHeight="1" x14ac:dyDescent="0.3">
      <c r="A6" s="11" t="s">
        <v>92</v>
      </c>
      <c r="B6" s="11" t="s">
        <v>93</v>
      </c>
      <c r="C6" s="16">
        <f t="shared" si="0"/>
        <v>0.22222222222222221</v>
      </c>
      <c r="D6" s="11" t="s">
        <v>94</v>
      </c>
      <c r="E6" s="11" t="s">
        <v>95</v>
      </c>
      <c r="F6" s="11" t="s">
        <v>85</v>
      </c>
      <c r="G6" s="11" t="s">
        <v>96</v>
      </c>
    </row>
    <row r="7" spans="1:7" ht="28.05" customHeight="1" x14ac:dyDescent="0.3">
      <c r="A7" s="11" t="s">
        <v>97</v>
      </c>
      <c r="B7" s="11" t="s">
        <v>93</v>
      </c>
      <c r="C7" s="16">
        <f t="shared" si="0"/>
        <v>0.22222222222222221</v>
      </c>
      <c r="D7" s="11" t="s">
        <v>94</v>
      </c>
      <c r="E7" s="11" t="s">
        <v>98</v>
      </c>
      <c r="F7" s="11" t="s">
        <v>85</v>
      </c>
      <c r="G7" s="11" t="s">
        <v>99</v>
      </c>
    </row>
    <row r="8" spans="1:7" ht="28.05" customHeight="1" x14ac:dyDescent="0.3">
      <c r="A8" s="12" t="s">
        <v>100</v>
      </c>
      <c r="B8" s="12" t="s">
        <v>82</v>
      </c>
      <c r="C8" s="17">
        <f t="shared" si="0"/>
        <v>0.16666666666666666</v>
      </c>
      <c r="D8" s="12" t="s">
        <v>83</v>
      </c>
      <c r="E8" s="12" t="s">
        <v>101</v>
      </c>
      <c r="F8" s="12" t="s">
        <v>102</v>
      </c>
      <c r="G8" s="12" t="s">
        <v>103</v>
      </c>
    </row>
    <row r="9" spans="1:7" ht="28.05" customHeight="1" x14ac:dyDescent="0.3">
      <c r="A9" s="14" t="s">
        <v>104</v>
      </c>
      <c r="B9" s="14" t="s">
        <v>105</v>
      </c>
      <c r="C9" s="18">
        <f t="shared" si="0"/>
        <v>8.3333333333333329E-2</v>
      </c>
      <c r="D9" s="14" t="s">
        <v>106</v>
      </c>
      <c r="E9" s="14" t="s">
        <v>107</v>
      </c>
      <c r="F9" s="14" t="s">
        <v>108</v>
      </c>
      <c r="G9" s="14" t="s">
        <v>109</v>
      </c>
    </row>
    <row r="10" spans="1:7" ht="28.05" customHeight="1" x14ac:dyDescent="0.3">
      <c r="A10" s="19" t="s">
        <v>110</v>
      </c>
      <c r="B10" s="19">
        <f>SUM(B4:B9)</f>
        <v>0</v>
      </c>
      <c r="C10" s="20">
        <f t="shared" si="0"/>
        <v>0</v>
      </c>
      <c r="D10" s="21" t="s">
        <v>111</v>
      </c>
      <c r="E10" s="21"/>
      <c r="F10" s="21"/>
      <c r="G10" s="21" t="s">
        <v>112</v>
      </c>
    </row>
    <row r="12" spans="1:7" ht="22.05" customHeight="1" x14ac:dyDescent="0.3">
      <c r="A12" s="76" t="s">
        <v>113</v>
      </c>
      <c r="B12" s="68"/>
      <c r="C12" s="68"/>
      <c r="D12" s="68"/>
      <c r="E12" s="68"/>
      <c r="F12" s="68"/>
      <c r="G12" s="68"/>
    </row>
    <row r="13" spans="1:7" ht="18" customHeight="1" x14ac:dyDescent="0.3">
      <c r="A13" s="22" t="s">
        <v>114</v>
      </c>
      <c r="B13" s="22" t="s">
        <v>115</v>
      </c>
      <c r="C13" s="22" t="s">
        <v>116</v>
      </c>
      <c r="D13" s="22" t="s">
        <v>78</v>
      </c>
      <c r="E13" s="22" t="s">
        <v>79</v>
      </c>
      <c r="F13" s="22" t="s">
        <v>45</v>
      </c>
      <c r="G13" s="22" t="s">
        <v>80</v>
      </c>
    </row>
    <row r="14" spans="1:7" ht="28.05" customHeight="1" x14ac:dyDescent="0.3">
      <c r="A14" s="13" t="s">
        <v>117</v>
      </c>
      <c r="B14" s="13" t="s">
        <v>118</v>
      </c>
      <c r="C14" s="23">
        <f>B14/8</f>
        <v>0.25</v>
      </c>
      <c r="D14" s="13" t="s">
        <v>119</v>
      </c>
      <c r="E14" s="13" t="s">
        <v>120</v>
      </c>
      <c r="F14" s="13" t="s">
        <v>121</v>
      </c>
      <c r="G14" s="13" t="s">
        <v>122</v>
      </c>
    </row>
    <row r="15" spans="1:7" ht="28.05" customHeight="1" x14ac:dyDescent="0.3">
      <c r="A15" s="13" t="s">
        <v>123</v>
      </c>
      <c r="B15" s="13" t="s">
        <v>124</v>
      </c>
      <c r="C15" s="23">
        <f>B15/8</f>
        <v>0.375</v>
      </c>
      <c r="D15" s="13" t="s">
        <v>125</v>
      </c>
      <c r="E15" s="13" t="s">
        <v>126</v>
      </c>
      <c r="F15" s="13" t="s">
        <v>121</v>
      </c>
      <c r="G15" s="13" t="s">
        <v>127</v>
      </c>
    </row>
    <row r="16" spans="1:7" ht="28.05" customHeight="1" x14ac:dyDescent="0.3">
      <c r="A16" s="24" t="s">
        <v>128</v>
      </c>
      <c r="B16" s="24" t="s">
        <v>118</v>
      </c>
      <c r="C16" s="25">
        <f>B16/8</f>
        <v>0.25</v>
      </c>
      <c r="D16" s="24" t="s">
        <v>119</v>
      </c>
      <c r="E16" s="24" t="s">
        <v>129</v>
      </c>
      <c r="F16" s="24" t="s">
        <v>130</v>
      </c>
      <c r="G16" s="24" t="s">
        <v>131</v>
      </c>
    </row>
    <row r="17" spans="1:7" ht="28.05" customHeight="1" x14ac:dyDescent="0.3">
      <c r="A17" s="26" t="s">
        <v>132</v>
      </c>
      <c r="B17" s="26" t="s">
        <v>133</v>
      </c>
      <c r="C17" s="27">
        <f>B17/8</f>
        <v>0.125</v>
      </c>
      <c r="D17" s="26" t="s">
        <v>134</v>
      </c>
      <c r="E17" s="26" t="s">
        <v>135</v>
      </c>
      <c r="F17" s="26" t="s">
        <v>136</v>
      </c>
      <c r="G17" s="26" t="s">
        <v>137</v>
      </c>
    </row>
    <row r="18" spans="1:7" ht="28.05" customHeight="1" x14ac:dyDescent="0.3">
      <c r="A18" s="19" t="s">
        <v>138</v>
      </c>
      <c r="B18" s="19">
        <f>SUM(B14:B17)</f>
        <v>0</v>
      </c>
      <c r="C18" s="20">
        <f>B18/8</f>
        <v>0</v>
      </c>
      <c r="D18" s="21" t="s">
        <v>139</v>
      </c>
      <c r="E18" s="21"/>
      <c r="F18" s="21"/>
      <c r="G18" s="21" t="s">
        <v>140</v>
      </c>
    </row>
    <row r="20" spans="1:7" ht="19.95" customHeight="1" x14ac:dyDescent="0.3">
      <c r="A20" s="73" t="s">
        <v>141</v>
      </c>
      <c r="B20" s="68"/>
      <c r="C20" s="68"/>
      <c r="D20" s="68"/>
      <c r="E20" s="68"/>
      <c r="F20" s="68"/>
      <c r="G20" s="68"/>
    </row>
    <row r="21" spans="1:7" ht="22.05" customHeight="1" x14ac:dyDescent="0.3">
      <c r="A21" s="2" t="s">
        <v>142</v>
      </c>
      <c r="B21" s="2" t="s">
        <v>6</v>
      </c>
      <c r="C21" s="2" t="s">
        <v>143</v>
      </c>
      <c r="D21" s="2" t="s">
        <v>144</v>
      </c>
      <c r="E21" s="2" t="s">
        <v>145</v>
      </c>
      <c r="F21" s="2"/>
      <c r="G21" s="2"/>
    </row>
    <row r="22" spans="1:7" ht="22.05" customHeight="1" x14ac:dyDescent="0.3">
      <c r="A22" s="4" t="s">
        <v>146</v>
      </c>
      <c r="B22" s="4" t="s">
        <v>7</v>
      </c>
      <c r="C22" s="4" t="s">
        <v>147</v>
      </c>
      <c r="D22" s="4" t="s">
        <v>148</v>
      </c>
      <c r="E22" s="4" t="s">
        <v>149</v>
      </c>
      <c r="F22" s="4"/>
      <c r="G22" s="4"/>
    </row>
    <row r="23" spans="1:7" ht="22.05" customHeight="1" x14ac:dyDescent="0.3">
      <c r="A23" s="28" t="s">
        <v>150</v>
      </c>
      <c r="B23" s="28" t="s">
        <v>37</v>
      </c>
      <c r="C23" s="28" t="s">
        <v>151</v>
      </c>
      <c r="D23" s="28" t="s">
        <v>152</v>
      </c>
      <c r="E23" s="28" t="s">
        <v>153</v>
      </c>
      <c r="F23" s="28"/>
      <c r="G23" s="28"/>
    </row>
  </sheetData>
  <mergeCells count="4">
    <mergeCell ref="A20:G20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workbookViewId="0">
      <selection sqref="A1:H1"/>
    </sheetView>
  </sheetViews>
  <sheetFormatPr defaultRowHeight="14.4" x14ac:dyDescent="0.3"/>
  <cols>
    <col min="1" max="1" width="10" customWidth="1"/>
    <col min="2" max="2" width="26" customWidth="1"/>
    <col min="3" max="3" width="18" customWidth="1"/>
    <col min="4" max="6" width="40" customWidth="1"/>
    <col min="7" max="7" width="6" customWidth="1"/>
    <col min="8" max="8" width="38" customWidth="1"/>
  </cols>
  <sheetData>
    <row r="1" spans="1:8" ht="30" customHeight="1" x14ac:dyDescent="0.3">
      <c r="A1" s="75" t="s">
        <v>154</v>
      </c>
      <c r="B1" s="68"/>
      <c r="C1" s="68"/>
      <c r="D1" s="68"/>
      <c r="E1" s="68"/>
      <c r="F1" s="68"/>
      <c r="G1" s="68"/>
      <c r="H1" s="68"/>
    </row>
    <row r="2" spans="1:8" ht="22.05" customHeight="1" x14ac:dyDescent="0.3">
      <c r="A2" s="77" t="s">
        <v>155</v>
      </c>
      <c r="B2" s="68"/>
      <c r="C2" s="68"/>
      <c r="D2" s="68"/>
      <c r="E2" s="68"/>
      <c r="F2" s="68"/>
      <c r="G2" s="68"/>
      <c r="H2" s="68"/>
    </row>
    <row r="3" spans="1:8" ht="19.95" customHeight="1" x14ac:dyDescent="0.3">
      <c r="A3" s="29" t="s">
        <v>156</v>
      </c>
      <c r="B3" s="29" t="s">
        <v>157</v>
      </c>
      <c r="C3" s="29" t="s">
        <v>158</v>
      </c>
      <c r="D3" s="29" t="s">
        <v>159</v>
      </c>
      <c r="E3" s="29" t="s">
        <v>160</v>
      </c>
      <c r="F3" s="29" t="s">
        <v>161</v>
      </c>
      <c r="G3" s="29" t="s">
        <v>162</v>
      </c>
      <c r="H3" s="29" t="s">
        <v>163</v>
      </c>
    </row>
    <row r="4" spans="1:8" ht="58.05" customHeight="1" x14ac:dyDescent="0.3">
      <c r="A4" s="2" t="s">
        <v>164</v>
      </c>
      <c r="B4" s="10" t="s">
        <v>165</v>
      </c>
      <c r="C4" s="10" t="s">
        <v>166</v>
      </c>
      <c r="D4" s="10" t="s">
        <v>167</v>
      </c>
      <c r="E4" s="10" t="s">
        <v>168</v>
      </c>
      <c r="F4" s="10" t="s">
        <v>169</v>
      </c>
      <c r="G4" s="10" t="s">
        <v>105</v>
      </c>
      <c r="H4" s="10" t="s">
        <v>170</v>
      </c>
    </row>
    <row r="5" spans="1:8" ht="58.05" customHeight="1" x14ac:dyDescent="0.3">
      <c r="A5" s="2" t="s">
        <v>171</v>
      </c>
      <c r="B5" s="10" t="s">
        <v>172</v>
      </c>
      <c r="C5" s="10" t="s">
        <v>166</v>
      </c>
      <c r="D5" s="10" t="s">
        <v>173</v>
      </c>
      <c r="E5" s="10" t="s">
        <v>174</v>
      </c>
      <c r="F5" s="10" t="s">
        <v>175</v>
      </c>
      <c r="G5" s="10" t="s">
        <v>105</v>
      </c>
      <c r="H5" s="10" t="s">
        <v>176</v>
      </c>
    </row>
    <row r="6" spans="1:8" ht="58.05" customHeight="1" x14ac:dyDescent="0.3">
      <c r="A6" s="3" t="s">
        <v>177</v>
      </c>
      <c r="B6" s="11" t="s">
        <v>178</v>
      </c>
      <c r="C6" s="11" t="s">
        <v>87</v>
      </c>
      <c r="D6" s="11" t="s">
        <v>179</v>
      </c>
      <c r="E6" s="11" t="s">
        <v>180</v>
      </c>
      <c r="F6" s="11" t="s">
        <v>181</v>
      </c>
      <c r="G6" s="11" t="s">
        <v>105</v>
      </c>
      <c r="H6" s="11" t="s">
        <v>182</v>
      </c>
    </row>
    <row r="7" spans="1:8" ht="58.05" customHeight="1" x14ac:dyDescent="0.3">
      <c r="A7" s="3" t="s">
        <v>183</v>
      </c>
      <c r="B7" s="11" t="s">
        <v>184</v>
      </c>
      <c r="C7" s="11" t="s">
        <v>185</v>
      </c>
      <c r="D7" s="11" t="s">
        <v>186</v>
      </c>
      <c r="E7" s="11" t="s">
        <v>187</v>
      </c>
      <c r="F7" s="11" t="s">
        <v>188</v>
      </c>
      <c r="G7" s="11" t="s">
        <v>105</v>
      </c>
      <c r="H7" s="11" t="s">
        <v>189</v>
      </c>
    </row>
    <row r="8" spans="1:8" ht="58.05" customHeight="1" x14ac:dyDescent="0.3">
      <c r="A8" s="4" t="s">
        <v>190</v>
      </c>
      <c r="B8" s="12" t="s">
        <v>191</v>
      </c>
      <c r="C8" s="12" t="s">
        <v>92</v>
      </c>
      <c r="D8" s="12" t="s">
        <v>192</v>
      </c>
      <c r="E8" s="12" t="s">
        <v>193</v>
      </c>
      <c r="F8" s="12" t="s">
        <v>194</v>
      </c>
      <c r="G8" s="12" t="s">
        <v>105</v>
      </c>
      <c r="H8" s="12" t="s">
        <v>195</v>
      </c>
    </row>
    <row r="9" spans="1:8" ht="58.05" customHeight="1" x14ac:dyDescent="0.3">
      <c r="A9" s="4" t="s">
        <v>196</v>
      </c>
      <c r="B9" s="12" t="s">
        <v>197</v>
      </c>
      <c r="C9" s="12" t="s">
        <v>92</v>
      </c>
      <c r="D9" s="12" t="s">
        <v>198</v>
      </c>
      <c r="E9" s="12" t="s">
        <v>199</v>
      </c>
      <c r="F9" s="12" t="s">
        <v>200</v>
      </c>
      <c r="G9" s="12" t="s">
        <v>105</v>
      </c>
      <c r="H9" s="12" t="s">
        <v>201</v>
      </c>
    </row>
    <row r="10" spans="1:8" ht="58.05" customHeight="1" x14ac:dyDescent="0.3">
      <c r="A10" s="6" t="s">
        <v>202</v>
      </c>
      <c r="B10" s="14" t="s">
        <v>203</v>
      </c>
      <c r="C10" s="14" t="s">
        <v>97</v>
      </c>
      <c r="D10" s="14" t="s">
        <v>204</v>
      </c>
      <c r="E10" s="14" t="s">
        <v>205</v>
      </c>
      <c r="F10" s="14" t="s">
        <v>206</v>
      </c>
      <c r="G10" s="14" t="s">
        <v>105</v>
      </c>
      <c r="H10" s="14" t="s">
        <v>207</v>
      </c>
    </row>
    <row r="11" spans="1:8" ht="58.05" customHeight="1" x14ac:dyDescent="0.3">
      <c r="A11" s="6" t="s">
        <v>208</v>
      </c>
      <c r="B11" s="14" t="s">
        <v>209</v>
      </c>
      <c r="C11" s="14" t="s">
        <v>97</v>
      </c>
      <c r="D11" s="14" t="s">
        <v>210</v>
      </c>
      <c r="E11" s="14" t="s">
        <v>211</v>
      </c>
      <c r="F11" s="14" t="s">
        <v>212</v>
      </c>
      <c r="G11" s="14" t="s">
        <v>105</v>
      </c>
      <c r="H11" s="14" t="s">
        <v>213</v>
      </c>
    </row>
    <row r="12" spans="1:8" ht="58.05" customHeight="1" x14ac:dyDescent="0.3">
      <c r="A12" s="6" t="s">
        <v>214</v>
      </c>
      <c r="B12" s="14" t="s">
        <v>215</v>
      </c>
      <c r="C12" s="14" t="s">
        <v>97</v>
      </c>
      <c r="D12" s="14" t="s">
        <v>216</v>
      </c>
      <c r="E12" s="14" t="s">
        <v>217</v>
      </c>
      <c r="F12" s="14" t="s">
        <v>218</v>
      </c>
      <c r="G12" s="14" t="s">
        <v>105</v>
      </c>
      <c r="H12" s="14" t="s">
        <v>219</v>
      </c>
    </row>
    <row r="13" spans="1:8" ht="58.05" customHeight="1" x14ac:dyDescent="0.3">
      <c r="A13" s="30" t="s">
        <v>220</v>
      </c>
      <c r="B13" s="26" t="s">
        <v>104</v>
      </c>
      <c r="C13" s="26" t="s">
        <v>104</v>
      </c>
      <c r="D13" s="26" t="s">
        <v>221</v>
      </c>
      <c r="E13" s="26" t="s">
        <v>222</v>
      </c>
      <c r="F13" s="26" t="s">
        <v>223</v>
      </c>
      <c r="G13" s="26" t="s">
        <v>105</v>
      </c>
      <c r="H13" s="26" t="s">
        <v>224</v>
      </c>
    </row>
    <row r="14" spans="1:8" ht="58.05" customHeight="1" x14ac:dyDescent="0.3">
      <c r="A14" s="5" t="s">
        <v>225</v>
      </c>
      <c r="B14" s="13" t="s">
        <v>100</v>
      </c>
      <c r="C14" s="13" t="s">
        <v>226</v>
      </c>
      <c r="D14" s="13" t="s">
        <v>227</v>
      </c>
      <c r="E14" s="13" t="s">
        <v>228</v>
      </c>
      <c r="F14" s="13" t="s">
        <v>229</v>
      </c>
      <c r="G14" s="13" t="s">
        <v>105</v>
      </c>
      <c r="H14" s="13" t="s">
        <v>230</v>
      </c>
    </row>
    <row r="15" spans="1:8" ht="58.05" customHeight="1" x14ac:dyDescent="0.3">
      <c r="A15" s="2" t="s">
        <v>231</v>
      </c>
      <c r="B15" s="10" t="s">
        <v>232</v>
      </c>
      <c r="C15" s="10" t="s">
        <v>233</v>
      </c>
      <c r="D15" s="10" t="s">
        <v>234</v>
      </c>
      <c r="E15" s="10" t="s">
        <v>235</v>
      </c>
      <c r="F15" s="10" t="s">
        <v>236</v>
      </c>
      <c r="G15" s="10" t="s">
        <v>105</v>
      </c>
      <c r="H15" s="10" t="s">
        <v>237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showGridLines="0" topLeftCell="A36" workbookViewId="0">
      <selection sqref="A1:H1"/>
    </sheetView>
  </sheetViews>
  <sheetFormatPr defaultRowHeight="14.4" x14ac:dyDescent="0.3"/>
  <cols>
    <col min="1" max="1" width="10" customWidth="1"/>
    <col min="2" max="2" width="14" customWidth="1"/>
    <col min="3" max="3" width="24" customWidth="1"/>
    <col min="4" max="4" width="36" customWidth="1"/>
    <col min="5" max="5" width="56" customWidth="1"/>
    <col min="6" max="6" width="50" customWidth="1"/>
    <col min="7" max="7" width="38" customWidth="1"/>
    <col min="8" max="8" width="52" customWidth="1"/>
  </cols>
  <sheetData>
    <row r="1" spans="1:8" ht="30" customHeight="1" x14ac:dyDescent="0.3">
      <c r="A1" s="75" t="s">
        <v>238</v>
      </c>
      <c r="B1" s="68"/>
      <c r="C1" s="68"/>
      <c r="D1" s="68"/>
      <c r="E1" s="68"/>
      <c r="F1" s="68"/>
      <c r="G1" s="68"/>
      <c r="H1" s="68"/>
    </row>
    <row r="2" spans="1:8" ht="22.05" customHeight="1" x14ac:dyDescent="0.3">
      <c r="A2" s="77" t="s">
        <v>239</v>
      </c>
      <c r="B2" s="68"/>
      <c r="C2" s="68"/>
      <c r="D2" s="68"/>
      <c r="E2" s="68"/>
      <c r="F2" s="68"/>
      <c r="G2" s="68"/>
      <c r="H2" s="68"/>
    </row>
    <row r="3" spans="1:8" ht="19.95" customHeight="1" x14ac:dyDescent="0.3">
      <c r="A3" s="29" t="s">
        <v>156</v>
      </c>
      <c r="B3" s="29" t="s">
        <v>240</v>
      </c>
      <c r="C3" s="29" t="s">
        <v>241</v>
      </c>
      <c r="D3" s="29" t="s">
        <v>242</v>
      </c>
      <c r="E3" s="29" t="s">
        <v>243</v>
      </c>
      <c r="F3" s="29" t="s">
        <v>244</v>
      </c>
      <c r="G3" s="29" t="s">
        <v>245</v>
      </c>
      <c r="H3" s="29" t="s">
        <v>246</v>
      </c>
    </row>
    <row r="4" spans="1:8" ht="85.05" customHeight="1" x14ac:dyDescent="0.3">
      <c r="A4" s="31" t="s">
        <v>164</v>
      </c>
      <c r="B4" s="32" t="s">
        <v>247</v>
      </c>
      <c r="C4" s="33" t="s">
        <v>165</v>
      </c>
      <c r="D4" s="33" t="s">
        <v>248</v>
      </c>
      <c r="E4" s="33" t="s">
        <v>249</v>
      </c>
      <c r="F4" s="33" t="s">
        <v>250</v>
      </c>
      <c r="G4" s="33" t="s">
        <v>251</v>
      </c>
      <c r="H4" s="33" t="s">
        <v>252</v>
      </c>
    </row>
    <row r="5" spans="1:8" ht="85.05" customHeight="1" x14ac:dyDescent="0.3">
      <c r="A5" s="2" t="s">
        <v>164</v>
      </c>
      <c r="B5" s="34" t="s">
        <v>253</v>
      </c>
      <c r="C5" s="10" t="s">
        <v>254</v>
      </c>
      <c r="D5" s="10" t="s">
        <v>255</v>
      </c>
      <c r="E5" s="10" t="s">
        <v>256</v>
      </c>
      <c r="F5" s="10" t="s">
        <v>257</v>
      </c>
      <c r="G5" s="10" t="s">
        <v>258</v>
      </c>
      <c r="H5" s="10" t="s">
        <v>259</v>
      </c>
    </row>
    <row r="6" spans="1:8" ht="85.05" customHeight="1" x14ac:dyDescent="0.3">
      <c r="A6" s="4" t="s">
        <v>164</v>
      </c>
      <c r="B6" s="35" t="s">
        <v>260</v>
      </c>
      <c r="C6" s="12" t="s">
        <v>261</v>
      </c>
      <c r="D6" s="12" t="s">
        <v>262</v>
      </c>
      <c r="E6" s="12" t="s">
        <v>263</v>
      </c>
      <c r="F6" s="12" t="s">
        <v>264</v>
      </c>
      <c r="G6" s="12" t="s">
        <v>265</v>
      </c>
      <c r="H6" s="12" t="s">
        <v>266</v>
      </c>
    </row>
    <row r="7" spans="1:8" ht="85.05" customHeight="1" x14ac:dyDescent="0.3">
      <c r="A7" s="31" t="s">
        <v>171</v>
      </c>
      <c r="B7" s="32" t="s">
        <v>247</v>
      </c>
      <c r="C7" s="33" t="s">
        <v>267</v>
      </c>
      <c r="D7" s="33" t="s">
        <v>268</v>
      </c>
      <c r="E7" s="33" t="s">
        <v>269</v>
      </c>
      <c r="F7" s="33" t="s">
        <v>270</v>
      </c>
      <c r="G7" s="33" t="s">
        <v>271</v>
      </c>
      <c r="H7" s="33" t="s">
        <v>272</v>
      </c>
    </row>
    <row r="8" spans="1:8" ht="85.05" customHeight="1" x14ac:dyDescent="0.3">
      <c r="A8" s="2" t="s">
        <v>171</v>
      </c>
      <c r="B8" s="34" t="s">
        <v>253</v>
      </c>
      <c r="C8" s="10" t="s">
        <v>273</v>
      </c>
      <c r="D8" s="10" t="s">
        <v>274</v>
      </c>
      <c r="E8" s="10" t="s">
        <v>275</v>
      </c>
      <c r="F8" s="10" t="s">
        <v>276</v>
      </c>
      <c r="G8" s="10" t="s">
        <v>277</v>
      </c>
      <c r="H8" s="10" t="s">
        <v>278</v>
      </c>
    </row>
    <row r="9" spans="1:8" ht="85.05" customHeight="1" x14ac:dyDescent="0.3">
      <c r="A9" s="4" t="s">
        <v>171</v>
      </c>
      <c r="B9" s="35" t="s">
        <v>260</v>
      </c>
      <c r="C9" s="12" t="s">
        <v>279</v>
      </c>
      <c r="D9" s="12" t="s">
        <v>280</v>
      </c>
      <c r="E9" s="12" t="s">
        <v>281</v>
      </c>
      <c r="F9" s="12" t="s">
        <v>282</v>
      </c>
      <c r="G9" s="12" t="s">
        <v>283</v>
      </c>
      <c r="H9" s="12" t="s">
        <v>284</v>
      </c>
    </row>
    <row r="10" spans="1:8" ht="85.05" customHeight="1" x14ac:dyDescent="0.3">
      <c r="A10" s="31" t="s">
        <v>177</v>
      </c>
      <c r="B10" s="32" t="s">
        <v>247</v>
      </c>
      <c r="C10" s="33" t="s">
        <v>285</v>
      </c>
      <c r="D10" s="33" t="s">
        <v>286</v>
      </c>
      <c r="E10" s="33" t="s">
        <v>287</v>
      </c>
      <c r="F10" s="33" t="s">
        <v>288</v>
      </c>
      <c r="G10" s="33" t="s">
        <v>289</v>
      </c>
      <c r="H10" s="33" t="s">
        <v>290</v>
      </c>
    </row>
    <row r="11" spans="1:8" ht="85.05" customHeight="1" x14ac:dyDescent="0.3">
      <c r="A11" s="2" t="s">
        <v>177</v>
      </c>
      <c r="B11" s="34" t="s">
        <v>253</v>
      </c>
      <c r="C11" s="10" t="s">
        <v>291</v>
      </c>
      <c r="D11" s="10" t="s">
        <v>292</v>
      </c>
      <c r="E11" s="10" t="s">
        <v>293</v>
      </c>
      <c r="F11" s="10" t="s">
        <v>294</v>
      </c>
      <c r="G11" s="10" t="s">
        <v>295</v>
      </c>
      <c r="H11" s="10" t="s">
        <v>296</v>
      </c>
    </row>
    <row r="12" spans="1:8" ht="85.05" customHeight="1" x14ac:dyDescent="0.3">
      <c r="A12" s="4" t="s">
        <v>177</v>
      </c>
      <c r="B12" s="35" t="s">
        <v>260</v>
      </c>
      <c r="C12" s="12" t="s">
        <v>297</v>
      </c>
      <c r="D12" s="12" t="s">
        <v>298</v>
      </c>
      <c r="E12" s="12" t="s">
        <v>299</v>
      </c>
      <c r="F12" s="12" t="s">
        <v>300</v>
      </c>
      <c r="G12" s="12" t="s">
        <v>301</v>
      </c>
      <c r="H12" s="12" t="s">
        <v>302</v>
      </c>
    </row>
    <row r="13" spans="1:8" ht="85.05" customHeight="1" x14ac:dyDescent="0.3">
      <c r="A13" s="31" t="s">
        <v>183</v>
      </c>
      <c r="B13" s="32" t="s">
        <v>247</v>
      </c>
      <c r="C13" s="33" t="s">
        <v>303</v>
      </c>
      <c r="D13" s="33" t="s">
        <v>304</v>
      </c>
      <c r="E13" s="33" t="s">
        <v>305</v>
      </c>
      <c r="F13" s="33" t="s">
        <v>306</v>
      </c>
      <c r="G13" s="33" t="s">
        <v>307</v>
      </c>
      <c r="H13" s="33" t="s">
        <v>308</v>
      </c>
    </row>
    <row r="14" spans="1:8" ht="85.05" customHeight="1" x14ac:dyDescent="0.3">
      <c r="A14" s="2" t="s">
        <v>183</v>
      </c>
      <c r="B14" s="34" t="s">
        <v>253</v>
      </c>
      <c r="C14" s="10" t="s">
        <v>309</v>
      </c>
      <c r="D14" s="10" t="s">
        <v>310</v>
      </c>
      <c r="E14" s="10" t="s">
        <v>311</v>
      </c>
      <c r="F14" s="10" t="s">
        <v>312</v>
      </c>
      <c r="G14" s="10" t="s">
        <v>313</v>
      </c>
      <c r="H14" s="10" t="s">
        <v>314</v>
      </c>
    </row>
    <row r="15" spans="1:8" ht="85.05" customHeight="1" x14ac:dyDescent="0.3">
      <c r="A15" s="4" t="s">
        <v>183</v>
      </c>
      <c r="B15" s="35" t="s">
        <v>260</v>
      </c>
      <c r="C15" s="12" t="s">
        <v>315</v>
      </c>
      <c r="D15" s="12" t="s">
        <v>316</v>
      </c>
      <c r="E15" s="12" t="s">
        <v>317</v>
      </c>
      <c r="F15" s="12" t="s">
        <v>318</v>
      </c>
      <c r="G15" s="12" t="s">
        <v>319</v>
      </c>
      <c r="H15" s="12" t="s">
        <v>320</v>
      </c>
    </row>
    <row r="16" spans="1:8" ht="85.05" customHeight="1" x14ac:dyDescent="0.3">
      <c r="A16" s="31" t="s">
        <v>190</v>
      </c>
      <c r="B16" s="32" t="s">
        <v>247</v>
      </c>
      <c r="C16" s="33" t="s">
        <v>321</v>
      </c>
      <c r="D16" s="33" t="s">
        <v>322</v>
      </c>
      <c r="E16" s="33" t="s">
        <v>323</v>
      </c>
      <c r="F16" s="33" t="s">
        <v>324</v>
      </c>
      <c r="G16" s="33" t="s">
        <v>325</v>
      </c>
      <c r="H16" s="33" t="s">
        <v>326</v>
      </c>
    </row>
    <row r="17" spans="1:8" ht="85.05" customHeight="1" x14ac:dyDescent="0.3">
      <c r="A17" s="2" t="s">
        <v>190</v>
      </c>
      <c r="B17" s="34" t="s">
        <v>253</v>
      </c>
      <c r="C17" s="10" t="s">
        <v>327</v>
      </c>
      <c r="D17" s="10" t="s">
        <v>328</v>
      </c>
      <c r="E17" s="10" t="s">
        <v>329</v>
      </c>
      <c r="F17" s="10" t="s">
        <v>330</v>
      </c>
      <c r="G17" s="10" t="s">
        <v>331</v>
      </c>
      <c r="H17" s="10" t="s">
        <v>332</v>
      </c>
    </row>
    <row r="18" spans="1:8" ht="85.05" customHeight="1" x14ac:dyDescent="0.3">
      <c r="A18" s="4" t="s">
        <v>190</v>
      </c>
      <c r="B18" s="35" t="s">
        <v>260</v>
      </c>
      <c r="C18" s="12" t="s">
        <v>333</v>
      </c>
      <c r="D18" s="12" t="s">
        <v>334</v>
      </c>
      <c r="E18" s="12" t="s">
        <v>335</v>
      </c>
      <c r="F18" s="12" t="s">
        <v>336</v>
      </c>
      <c r="G18" s="12" t="s">
        <v>337</v>
      </c>
      <c r="H18" s="12" t="s">
        <v>338</v>
      </c>
    </row>
    <row r="19" spans="1:8" ht="85.05" customHeight="1" x14ac:dyDescent="0.3">
      <c r="A19" s="31" t="s">
        <v>196</v>
      </c>
      <c r="B19" s="32" t="s">
        <v>247</v>
      </c>
      <c r="C19" s="33" t="s">
        <v>339</v>
      </c>
      <c r="D19" s="33" t="s">
        <v>340</v>
      </c>
      <c r="E19" s="33" t="s">
        <v>341</v>
      </c>
      <c r="F19" s="33" t="s">
        <v>342</v>
      </c>
      <c r="G19" s="33" t="s">
        <v>343</v>
      </c>
      <c r="H19" s="33" t="s">
        <v>344</v>
      </c>
    </row>
    <row r="20" spans="1:8" ht="85.05" customHeight="1" x14ac:dyDescent="0.3">
      <c r="A20" s="2" t="s">
        <v>196</v>
      </c>
      <c r="B20" s="34" t="s">
        <v>253</v>
      </c>
      <c r="C20" s="10" t="s">
        <v>345</v>
      </c>
      <c r="D20" s="10" t="s">
        <v>346</v>
      </c>
      <c r="E20" s="10" t="s">
        <v>347</v>
      </c>
      <c r="F20" s="10" t="s">
        <v>348</v>
      </c>
      <c r="G20" s="10" t="s">
        <v>349</v>
      </c>
      <c r="H20" s="10" t="s">
        <v>350</v>
      </c>
    </row>
    <row r="21" spans="1:8" ht="85.05" customHeight="1" x14ac:dyDescent="0.3">
      <c r="A21" s="4" t="s">
        <v>196</v>
      </c>
      <c r="B21" s="35" t="s">
        <v>260</v>
      </c>
      <c r="C21" s="12" t="s">
        <v>351</v>
      </c>
      <c r="D21" s="12" t="s">
        <v>352</v>
      </c>
      <c r="E21" s="12" t="s">
        <v>353</v>
      </c>
      <c r="F21" s="12" t="s">
        <v>354</v>
      </c>
      <c r="G21" s="12" t="s">
        <v>355</v>
      </c>
      <c r="H21" s="12" t="s">
        <v>356</v>
      </c>
    </row>
    <row r="22" spans="1:8" ht="85.05" customHeight="1" x14ac:dyDescent="0.3">
      <c r="A22" s="31" t="s">
        <v>202</v>
      </c>
      <c r="B22" s="32" t="s">
        <v>247</v>
      </c>
      <c r="C22" s="33" t="s">
        <v>357</v>
      </c>
      <c r="D22" s="33" t="s">
        <v>358</v>
      </c>
      <c r="E22" s="33" t="s">
        <v>359</v>
      </c>
      <c r="F22" s="33" t="s">
        <v>360</v>
      </c>
      <c r="G22" s="33" t="s">
        <v>361</v>
      </c>
      <c r="H22" s="33" t="s">
        <v>362</v>
      </c>
    </row>
    <row r="23" spans="1:8" ht="85.05" customHeight="1" x14ac:dyDescent="0.3">
      <c r="A23" s="2" t="s">
        <v>202</v>
      </c>
      <c r="B23" s="34" t="s">
        <v>253</v>
      </c>
      <c r="C23" s="10" t="s">
        <v>363</v>
      </c>
      <c r="D23" s="10" t="s">
        <v>364</v>
      </c>
      <c r="E23" s="10" t="s">
        <v>365</v>
      </c>
      <c r="F23" s="10" t="s">
        <v>366</v>
      </c>
      <c r="G23" s="10" t="s">
        <v>367</v>
      </c>
      <c r="H23" s="10" t="s">
        <v>368</v>
      </c>
    </row>
    <row r="24" spans="1:8" ht="85.05" customHeight="1" x14ac:dyDescent="0.3">
      <c r="A24" s="4" t="s">
        <v>202</v>
      </c>
      <c r="B24" s="35" t="s">
        <v>260</v>
      </c>
      <c r="C24" s="12" t="s">
        <v>369</v>
      </c>
      <c r="D24" s="12" t="s">
        <v>370</v>
      </c>
      <c r="E24" s="12" t="s">
        <v>371</v>
      </c>
      <c r="F24" s="12" t="s">
        <v>372</v>
      </c>
      <c r="G24" s="12" t="s">
        <v>373</v>
      </c>
      <c r="H24" s="12" t="s">
        <v>374</v>
      </c>
    </row>
    <row r="25" spans="1:8" ht="85.05" customHeight="1" x14ac:dyDescent="0.3">
      <c r="A25" s="31" t="s">
        <v>208</v>
      </c>
      <c r="B25" s="32" t="s">
        <v>247</v>
      </c>
      <c r="C25" s="33" t="s">
        <v>375</v>
      </c>
      <c r="D25" s="33" t="s">
        <v>376</v>
      </c>
      <c r="E25" s="33" t="s">
        <v>377</v>
      </c>
      <c r="F25" s="33" t="s">
        <v>378</v>
      </c>
      <c r="G25" s="33" t="s">
        <v>379</v>
      </c>
      <c r="H25" s="33" t="s">
        <v>380</v>
      </c>
    </row>
    <row r="26" spans="1:8" ht="85.05" customHeight="1" x14ac:dyDescent="0.3">
      <c r="A26" s="2" t="s">
        <v>208</v>
      </c>
      <c r="B26" s="34" t="s">
        <v>253</v>
      </c>
      <c r="C26" s="10" t="s">
        <v>381</v>
      </c>
      <c r="D26" s="10" t="s">
        <v>382</v>
      </c>
      <c r="E26" s="10" t="s">
        <v>383</v>
      </c>
      <c r="F26" s="10" t="s">
        <v>384</v>
      </c>
      <c r="G26" s="10" t="s">
        <v>385</v>
      </c>
      <c r="H26" s="10" t="s">
        <v>386</v>
      </c>
    </row>
    <row r="27" spans="1:8" ht="85.05" customHeight="1" x14ac:dyDescent="0.3">
      <c r="A27" s="4" t="s">
        <v>208</v>
      </c>
      <c r="B27" s="35" t="s">
        <v>260</v>
      </c>
      <c r="C27" s="12" t="s">
        <v>387</v>
      </c>
      <c r="D27" s="12" t="s">
        <v>388</v>
      </c>
      <c r="E27" s="12" t="s">
        <v>389</v>
      </c>
      <c r="F27" s="12" t="s">
        <v>390</v>
      </c>
      <c r="G27" s="12" t="s">
        <v>391</v>
      </c>
      <c r="H27" s="12" t="s">
        <v>392</v>
      </c>
    </row>
    <row r="28" spans="1:8" ht="85.05" customHeight="1" x14ac:dyDescent="0.3">
      <c r="A28" s="31" t="s">
        <v>214</v>
      </c>
      <c r="B28" s="32" t="s">
        <v>247</v>
      </c>
      <c r="C28" s="33" t="s">
        <v>393</v>
      </c>
      <c r="D28" s="33" t="s">
        <v>394</v>
      </c>
      <c r="E28" s="33" t="s">
        <v>395</v>
      </c>
      <c r="F28" s="33" t="s">
        <v>396</v>
      </c>
      <c r="G28" s="33" t="s">
        <v>397</v>
      </c>
      <c r="H28" s="33" t="s">
        <v>398</v>
      </c>
    </row>
    <row r="29" spans="1:8" ht="85.05" customHeight="1" x14ac:dyDescent="0.3">
      <c r="A29" s="2" t="s">
        <v>214</v>
      </c>
      <c r="B29" s="34" t="s">
        <v>253</v>
      </c>
      <c r="C29" s="10" t="s">
        <v>399</v>
      </c>
      <c r="D29" s="10" t="s">
        <v>400</v>
      </c>
      <c r="E29" s="10" t="s">
        <v>401</v>
      </c>
      <c r="F29" s="10" t="s">
        <v>402</v>
      </c>
      <c r="G29" s="10" t="s">
        <v>403</v>
      </c>
      <c r="H29" s="10" t="s">
        <v>404</v>
      </c>
    </row>
    <row r="30" spans="1:8" ht="85.05" customHeight="1" x14ac:dyDescent="0.3">
      <c r="A30" s="4" t="s">
        <v>214</v>
      </c>
      <c r="B30" s="35" t="s">
        <v>260</v>
      </c>
      <c r="C30" s="12" t="s">
        <v>405</v>
      </c>
      <c r="D30" s="12" t="s">
        <v>406</v>
      </c>
      <c r="E30" s="12" t="s">
        <v>407</v>
      </c>
      <c r="F30" s="12" t="s">
        <v>408</v>
      </c>
      <c r="G30" s="12" t="s">
        <v>409</v>
      </c>
      <c r="H30" s="12" t="s">
        <v>410</v>
      </c>
    </row>
    <row r="31" spans="1:8" ht="85.05" customHeight="1" x14ac:dyDescent="0.3">
      <c r="A31" s="31" t="s">
        <v>220</v>
      </c>
      <c r="B31" s="32" t="s">
        <v>247</v>
      </c>
      <c r="C31" s="33" t="s">
        <v>411</v>
      </c>
      <c r="D31" s="33" t="s">
        <v>412</v>
      </c>
      <c r="E31" s="33" t="s">
        <v>413</v>
      </c>
      <c r="F31" s="33" t="s">
        <v>414</v>
      </c>
      <c r="G31" s="33" t="s">
        <v>415</v>
      </c>
      <c r="H31" s="33" t="s">
        <v>416</v>
      </c>
    </row>
    <row r="32" spans="1:8" ht="85.05" customHeight="1" x14ac:dyDescent="0.3">
      <c r="A32" s="2" t="s">
        <v>220</v>
      </c>
      <c r="B32" s="34" t="s">
        <v>253</v>
      </c>
      <c r="C32" s="10" t="s">
        <v>417</v>
      </c>
      <c r="D32" s="10" t="s">
        <v>418</v>
      </c>
      <c r="E32" s="10" t="s">
        <v>419</v>
      </c>
      <c r="F32" s="10" t="s">
        <v>420</v>
      </c>
      <c r="G32" s="10" t="s">
        <v>421</v>
      </c>
      <c r="H32" s="10" t="s">
        <v>422</v>
      </c>
    </row>
    <row r="33" spans="1:8" ht="85.05" customHeight="1" x14ac:dyDescent="0.3">
      <c r="A33" s="4" t="s">
        <v>220</v>
      </c>
      <c r="B33" s="35" t="s">
        <v>260</v>
      </c>
      <c r="C33" s="12" t="s">
        <v>423</v>
      </c>
      <c r="D33" s="12" t="s">
        <v>424</v>
      </c>
      <c r="E33" s="12" t="s">
        <v>425</v>
      </c>
      <c r="F33" s="12" t="s">
        <v>426</v>
      </c>
      <c r="G33" s="12" t="s">
        <v>427</v>
      </c>
      <c r="H33" s="12" t="s">
        <v>428</v>
      </c>
    </row>
    <row r="34" spans="1:8" ht="85.05" customHeight="1" x14ac:dyDescent="0.3">
      <c r="A34" s="31" t="s">
        <v>225</v>
      </c>
      <c r="B34" s="32" t="s">
        <v>247</v>
      </c>
      <c r="C34" s="33" t="s">
        <v>429</v>
      </c>
      <c r="D34" s="33" t="s">
        <v>430</v>
      </c>
      <c r="E34" s="33" t="s">
        <v>431</v>
      </c>
      <c r="F34" s="33" t="s">
        <v>432</v>
      </c>
      <c r="G34" s="33" t="s">
        <v>433</v>
      </c>
      <c r="H34" s="33" t="s">
        <v>434</v>
      </c>
    </row>
    <row r="35" spans="1:8" ht="85.05" customHeight="1" x14ac:dyDescent="0.3">
      <c r="A35" s="2" t="s">
        <v>225</v>
      </c>
      <c r="B35" s="34" t="s">
        <v>253</v>
      </c>
      <c r="C35" s="10" t="s">
        <v>435</v>
      </c>
      <c r="D35" s="10" t="s">
        <v>436</v>
      </c>
      <c r="E35" s="10" t="s">
        <v>437</v>
      </c>
      <c r="F35" s="10" t="s">
        <v>438</v>
      </c>
      <c r="G35" s="10" t="s">
        <v>439</v>
      </c>
      <c r="H35" s="10" t="s">
        <v>440</v>
      </c>
    </row>
    <row r="36" spans="1:8" ht="85.05" customHeight="1" x14ac:dyDescent="0.3">
      <c r="A36" s="4" t="s">
        <v>225</v>
      </c>
      <c r="B36" s="35" t="s">
        <v>260</v>
      </c>
      <c r="C36" s="12" t="s">
        <v>441</v>
      </c>
      <c r="D36" s="12" t="s">
        <v>442</v>
      </c>
      <c r="E36" s="12" t="s">
        <v>443</v>
      </c>
      <c r="F36" s="12" t="s">
        <v>444</v>
      </c>
      <c r="G36" s="12" t="s">
        <v>445</v>
      </c>
      <c r="H36" s="12" t="s">
        <v>446</v>
      </c>
    </row>
    <row r="37" spans="1:8" ht="85.05" customHeight="1" x14ac:dyDescent="0.3">
      <c r="A37" s="31" t="s">
        <v>231</v>
      </c>
      <c r="B37" s="32" t="s">
        <v>247</v>
      </c>
      <c r="C37" s="33" t="s">
        <v>132</v>
      </c>
      <c r="D37" s="33" t="s">
        <v>447</v>
      </c>
      <c r="E37" s="33" t="s">
        <v>448</v>
      </c>
      <c r="F37" s="33" t="s">
        <v>449</v>
      </c>
      <c r="G37" s="33" t="s">
        <v>450</v>
      </c>
      <c r="H37" s="33" t="s">
        <v>451</v>
      </c>
    </row>
    <row r="38" spans="1:8" ht="85.05" customHeight="1" x14ac:dyDescent="0.3">
      <c r="A38" s="2" t="s">
        <v>231</v>
      </c>
      <c r="B38" s="34" t="s">
        <v>253</v>
      </c>
      <c r="C38" s="10" t="s">
        <v>452</v>
      </c>
      <c r="D38" s="10" t="s">
        <v>453</v>
      </c>
      <c r="E38" s="10" t="s">
        <v>454</v>
      </c>
      <c r="F38" s="10" t="s">
        <v>455</v>
      </c>
      <c r="G38" s="10" t="s">
        <v>456</v>
      </c>
      <c r="H38" s="10" t="s">
        <v>457</v>
      </c>
    </row>
    <row r="39" spans="1:8" ht="85.05" customHeight="1" x14ac:dyDescent="0.3">
      <c r="A39" s="4" t="s">
        <v>231</v>
      </c>
      <c r="B39" s="35" t="s">
        <v>260</v>
      </c>
      <c r="C39" s="12" t="s">
        <v>458</v>
      </c>
      <c r="D39" s="12" t="s">
        <v>459</v>
      </c>
      <c r="E39" s="12" t="s">
        <v>460</v>
      </c>
      <c r="F39" s="12" t="s">
        <v>461</v>
      </c>
      <c r="G39" s="12" t="s">
        <v>462</v>
      </c>
      <c r="H39" s="12" t="s">
        <v>463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showGridLines="0" topLeftCell="A10" workbookViewId="0">
      <selection sqref="A1:G1"/>
    </sheetView>
  </sheetViews>
  <sheetFormatPr defaultRowHeight="14.4" x14ac:dyDescent="0.3"/>
  <cols>
    <col min="1" max="1" width="16" customWidth="1"/>
    <col min="2" max="2" width="12" customWidth="1"/>
    <col min="3" max="3" width="30" customWidth="1"/>
    <col min="4" max="4" width="38" customWidth="1"/>
    <col min="5" max="5" width="58" customWidth="1"/>
    <col min="6" max="6" width="52" customWidth="1"/>
    <col min="7" max="7" width="45" customWidth="1"/>
  </cols>
  <sheetData>
    <row r="1" spans="1:7" ht="30" customHeight="1" x14ac:dyDescent="0.3">
      <c r="A1" s="75" t="s">
        <v>464</v>
      </c>
      <c r="B1" s="68"/>
      <c r="C1" s="68"/>
      <c r="D1" s="68"/>
      <c r="E1" s="68"/>
      <c r="F1" s="68"/>
      <c r="G1" s="68"/>
    </row>
    <row r="2" spans="1:7" ht="22.05" customHeight="1" x14ac:dyDescent="0.3">
      <c r="A2" s="72" t="s">
        <v>465</v>
      </c>
      <c r="B2" s="68"/>
      <c r="C2" s="68"/>
      <c r="D2" s="68"/>
      <c r="E2" s="68"/>
      <c r="F2" s="68"/>
      <c r="G2" s="68"/>
    </row>
    <row r="3" spans="1:7" ht="19.95" customHeight="1" x14ac:dyDescent="0.3">
      <c r="A3" s="22" t="s">
        <v>466</v>
      </c>
      <c r="B3" s="22" t="s">
        <v>26</v>
      </c>
      <c r="C3" s="22" t="s">
        <v>467</v>
      </c>
      <c r="D3" s="22" t="s">
        <v>242</v>
      </c>
      <c r="E3" s="22" t="s">
        <v>243</v>
      </c>
      <c r="F3" s="22" t="s">
        <v>244</v>
      </c>
      <c r="G3" s="22" t="s">
        <v>468</v>
      </c>
    </row>
    <row r="4" spans="1:7" ht="120" customHeight="1" x14ac:dyDescent="0.3">
      <c r="A4" s="36" t="s">
        <v>469</v>
      </c>
      <c r="B4" s="37" t="s">
        <v>470</v>
      </c>
      <c r="C4" s="13" t="s">
        <v>471</v>
      </c>
      <c r="D4" s="13" t="s">
        <v>472</v>
      </c>
      <c r="E4" s="13" t="s">
        <v>473</v>
      </c>
      <c r="F4" s="13" t="s">
        <v>474</v>
      </c>
      <c r="G4" s="13" t="s">
        <v>475</v>
      </c>
    </row>
    <row r="5" spans="1:7" ht="120" customHeight="1" x14ac:dyDescent="0.3">
      <c r="A5" s="38" t="s">
        <v>476</v>
      </c>
      <c r="B5" s="39" t="s">
        <v>477</v>
      </c>
      <c r="C5" s="11" t="s">
        <v>478</v>
      </c>
      <c r="D5" s="11" t="s">
        <v>479</v>
      </c>
      <c r="E5" s="11" t="s">
        <v>480</v>
      </c>
      <c r="F5" s="11" t="s">
        <v>481</v>
      </c>
      <c r="G5" s="11" t="s">
        <v>482</v>
      </c>
    </row>
    <row r="6" spans="1:7" ht="120" customHeight="1" x14ac:dyDescent="0.3">
      <c r="A6" s="40" t="s">
        <v>483</v>
      </c>
      <c r="B6" s="41" t="s">
        <v>470</v>
      </c>
      <c r="C6" s="24" t="s">
        <v>484</v>
      </c>
      <c r="D6" s="24" t="s">
        <v>485</v>
      </c>
      <c r="E6" s="24" t="s">
        <v>486</v>
      </c>
      <c r="F6" s="24" t="s">
        <v>487</v>
      </c>
      <c r="G6" s="24" t="s">
        <v>488</v>
      </c>
    </row>
    <row r="7" spans="1:7" ht="120" customHeight="1" x14ac:dyDescent="0.3">
      <c r="A7" s="42" t="s">
        <v>489</v>
      </c>
      <c r="B7" s="43" t="s">
        <v>490</v>
      </c>
      <c r="C7" s="14" t="s">
        <v>491</v>
      </c>
      <c r="D7" s="14" t="s">
        <v>492</v>
      </c>
      <c r="E7" s="14" t="s">
        <v>493</v>
      </c>
      <c r="F7" s="14" t="s">
        <v>494</v>
      </c>
      <c r="G7" s="14" t="s">
        <v>495</v>
      </c>
    </row>
    <row r="9" spans="1:7" ht="22.05" customHeight="1" x14ac:dyDescent="0.3">
      <c r="A9" s="78" t="s">
        <v>496</v>
      </c>
      <c r="B9" s="68"/>
      <c r="C9" s="68"/>
      <c r="D9" s="68"/>
      <c r="E9" s="68"/>
      <c r="F9" s="68"/>
      <c r="G9" s="68"/>
    </row>
    <row r="10" spans="1:7" ht="34.950000000000003" customHeight="1" x14ac:dyDescent="0.3">
      <c r="A10" s="7" t="s">
        <v>497</v>
      </c>
      <c r="B10" s="65" t="s">
        <v>498</v>
      </c>
      <c r="C10" s="62"/>
      <c r="D10" s="62"/>
      <c r="E10" s="62"/>
      <c r="F10" s="62"/>
      <c r="G10" s="63"/>
    </row>
    <row r="11" spans="1:7" ht="34.950000000000003" customHeight="1" x14ac:dyDescent="0.3">
      <c r="A11" s="7" t="s">
        <v>499</v>
      </c>
      <c r="B11" s="65" t="s">
        <v>500</v>
      </c>
      <c r="C11" s="62"/>
      <c r="D11" s="62"/>
      <c r="E11" s="62"/>
      <c r="F11" s="62"/>
      <c r="G11" s="63"/>
    </row>
    <row r="12" spans="1:7" ht="34.950000000000003" customHeight="1" x14ac:dyDescent="0.3">
      <c r="A12" s="7" t="s">
        <v>501</v>
      </c>
      <c r="B12" s="65" t="s">
        <v>502</v>
      </c>
      <c r="C12" s="62"/>
      <c r="D12" s="62"/>
      <c r="E12" s="62"/>
      <c r="F12" s="62"/>
      <c r="G12" s="63"/>
    </row>
    <row r="13" spans="1:7" ht="34.950000000000003" customHeight="1" x14ac:dyDescent="0.3">
      <c r="A13" s="7" t="s">
        <v>503</v>
      </c>
      <c r="B13" s="65" t="s">
        <v>504</v>
      </c>
      <c r="C13" s="62"/>
      <c r="D13" s="62"/>
      <c r="E13" s="62"/>
      <c r="F13" s="62"/>
      <c r="G13" s="63"/>
    </row>
    <row r="14" spans="1:7" ht="34.950000000000003" customHeight="1" x14ac:dyDescent="0.3">
      <c r="A14" s="7" t="s">
        <v>505</v>
      </c>
      <c r="B14" s="65" t="s">
        <v>506</v>
      </c>
      <c r="C14" s="62"/>
      <c r="D14" s="62"/>
      <c r="E14" s="62"/>
      <c r="F14" s="62"/>
      <c r="G14" s="63"/>
    </row>
    <row r="15" spans="1:7" ht="34.950000000000003" customHeight="1" x14ac:dyDescent="0.3">
      <c r="A15" s="7" t="s">
        <v>507</v>
      </c>
      <c r="B15" s="65" t="s">
        <v>508</v>
      </c>
      <c r="C15" s="62"/>
      <c r="D15" s="62"/>
      <c r="E15" s="62"/>
      <c r="F15" s="62"/>
      <c r="G15" s="63"/>
    </row>
  </sheetData>
  <mergeCells count="9">
    <mergeCell ref="B15:G15"/>
    <mergeCell ref="B11:G11"/>
    <mergeCell ref="B10:G10"/>
    <mergeCell ref="A1:G1"/>
    <mergeCell ref="A9:G9"/>
    <mergeCell ref="B14:G14"/>
    <mergeCell ref="A2:G2"/>
    <mergeCell ref="B12:G12"/>
    <mergeCell ref="B13:G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showGridLines="0" topLeftCell="A26" workbookViewId="0">
      <selection sqref="A1:G1"/>
    </sheetView>
  </sheetViews>
  <sheetFormatPr defaultRowHeight="14.4" x14ac:dyDescent="0.3"/>
  <cols>
    <col min="1" max="1" width="22" customWidth="1"/>
    <col min="2" max="2" width="32" customWidth="1"/>
    <col min="3" max="3" width="27.88671875" customWidth="1"/>
    <col min="4" max="4" width="71.88671875" customWidth="1"/>
    <col min="5" max="5" width="24.33203125" customWidth="1"/>
    <col min="6" max="6" width="12" customWidth="1"/>
    <col min="7" max="7" width="14" customWidth="1"/>
  </cols>
  <sheetData>
    <row r="1" spans="1:7" ht="30" customHeight="1" x14ac:dyDescent="0.3">
      <c r="A1" s="75" t="s">
        <v>509</v>
      </c>
      <c r="B1" s="68"/>
      <c r="C1" s="68"/>
      <c r="D1" s="68"/>
      <c r="E1" s="68"/>
      <c r="F1" s="68"/>
      <c r="G1" s="68"/>
    </row>
    <row r="2" spans="1:7" ht="22.05" customHeight="1" x14ac:dyDescent="0.3">
      <c r="A2" s="67" t="s">
        <v>510</v>
      </c>
      <c r="B2" s="68"/>
      <c r="C2" s="68"/>
      <c r="D2" s="68"/>
      <c r="E2" s="68"/>
      <c r="F2" s="68"/>
      <c r="G2" s="68"/>
    </row>
    <row r="3" spans="1:7" ht="18" customHeight="1" x14ac:dyDescent="0.3">
      <c r="A3" s="1" t="s">
        <v>156</v>
      </c>
      <c r="B3" s="1" t="s">
        <v>511</v>
      </c>
      <c r="C3" s="1" t="s">
        <v>512</v>
      </c>
      <c r="D3" s="1" t="s">
        <v>513</v>
      </c>
      <c r="E3" s="1" t="s">
        <v>514</v>
      </c>
      <c r="F3" s="1" t="s">
        <v>515</v>
      </c>
      <c r="G3" s="1" t="s">
        <v>516</v>
      </c>
    </row>
    <row r="4" spans="1:7" ht="55.05" customHeight="1" x14ac:dyDescent="0.3">
      <c r="A4" s="44" t="s">
        <v>164</v>
      </c>
      <c r="B4" s="8" t="s">
        <v>517</v>
      </c>
      <c r="C4" s="8" t="s">
        <v>166</v>
      </c>
      <c r="D4" s="8" t="s">
        <v>518</v>
      </c>
      <c r="E4" s="8" t="s">
        <v>519</v>
      </c>
      <c r="F4" s="8" t="s">
        <v>520</v>
      </c>
      <c r="G4" s="8" t="s">
        <v>521</v>
      </c>
    </row>
    <row r="5" spans="1:7" ht="55.05" customHeight="1" x14ac:dyDescent="0.3">
      <c r="A5" s="3" t="s">
        <v>171</v>
      </c>
      <c r="B5" s="11" t="s">
        <v>522</v>
      </c>
      <c r="C5" s="11" t="s">
        <v>166</v>
      </c>
      <c r="D5" s="11" t="s">
        <v>523</v>
      </c>
      <c r="E5" s="11" t="s">
        <v>524</v>
      </c>
      <c r="F5" s="11" t="s">
        <v>525</v>
      </c>
      <c r="G5" s="11" t="s">
        <v>526</v>
      </c>
    </row>
    <row r="6" spans="1:7" ht="55.05" customHeight="1" x14ac:dyDescent="0.3">
      <c r="A6" s="44" t="s">
        <v>177</v>
      </c>
      <c r="B6" s="8" t="s">
        <v>527</v>
      </c>
      <c r="C6" s="8" t="s">
        <v>87</v>
      </c>
      <c r="D6" s="8" t="s">
        <v>528</v>
      </c>
      <c r="E6" s="8" t="s">
        <v>529</v>
      </c>
      <c r="F6" s="8" t="s">
        <v>530</v>
      </c>
      <c r="G6" s="8" t="s">
        <v>531</v>
      </c>
    </row>
    <row r="7" spans="1:7" ht="55.05" customHeight="1" x14ac:dyDescent="0.3">
      <c r="A7" s="3" t="s">
        <v>183</v>
      </c>
      <c r="B7" s="11" t="s">
        <v>532</v>
      </c>
      <c r="C7" s="11" t="s">
        <v>185</v>
      </c>
      <c r="D7" s="11" t="s">
        <v>533</v>
      </c>
      <c r="E7" s="11" t="s">
        <v>534</v>
      </c>
      <c r="F7" s="11" t="s">
        <v>530</v>
      </c>
      <c r="G7" s="11" t="s">
        <v>531</v>
      </c>
    </row>
    <row r="8" spans="1:7" ht="55.05" customHeight="1" x14ac:dyDescent="0.3">
      <c r="A8" s="44" t="s">
        <v>190</v>
      </c>
      <c r="B8" s="8" t="s">
        <v>535</v>
      </c>
      <c r="C8" s="8" t="s">
        <v>92</v>
      </c>
      <c r="D8" s="8" t="s">
        <v>536</v>
      </c>
      <c r="E8" s="8" t="s">
        <v>537</v>
      </c>
      <c r="F8" s="8" t="s">
        <v>530</v>
      </c>
      <c r="G8" s="8" t="s">
        <v>538</v>
      </c>
    </row>
    <row r="9" spans="1:7" ht="55.05" customHeight="1" x14ac:dyDescent="0.3">
      <c r="A9" s="3" t="s">
        <v>196</v>
      </c>
      <c r="B9" s="11" t="s">
        <v>539</v>
      </c>
      <c r="C9" s="11" t="s">
        <v>92</v>
      </c>
      <c r="D9" s="11" t="s">
        <v>540</v>
      </c>
      <c r="E9" s="11" t="s">
        <v>541</v>
      </c>
      <c r="F9" s="11" t="s">
        <v>542</v>
      </c>
      <c r="G9" s="11" t="s">
        <v>538</v>
      </c>
    </row>
    <row r="10" spans="1:7" ht="55.05" customHeight="1" x14ac:dyDescent="0.3">
      <c r="A10" s="44" t="s">
        <v>202</v>
      </c>
      <c r="B10" s="8" t="s">
        <v>543</v>
      </c>
      <c r="C10" s="8" t="s">
        <v>97</v>
      </c>
      <c r="D10" s="8" t="s">
        <v>544</v>
      </c>
      <c r="E10" s="8" t="s">
        <v>545</v>
      </c>
      <c r="F10" s="8" t="s">
        <v>530</v>
      </c>
      <c r="G10" s="8" t="s">
        <v>538</v>
      </c>
    </row>
    <row r="11" spans="1:7" ht="55.05" customHeight="1" x14ac:dyDescent="0.3">
      <c r="A11" s="3" t="s">
        <v>208</v>
      </c>
      <c r="B11" s="11" t="s">
        <v>546</v>
      </c>
      <c r="C11" s="11" t="s">
        <v>97</v>
      </c>
      <c r="D11" s="11" t="s">
        <v>547</v>
      </c>
      <c r="E11" s="11" t="s">
        <v>548</v>
      </c>
      <c r="F11" s="11" t="s">
        <v>542</v>
      </c>
      <c r="G11" s="11" t="s">
        <v>538</v>
      </c>
    </row>
    <row r="12" spans="1:7" ht="55.05" customHeight="1" x14ac:dyDescent="0.3">
      <c r="A12" s="44" t="s">
        <v>214</v>
      </c>
      <c r="B12" s="8" t="s">
        <v>549</v>
      </c>
      <c r="C12" s="8" t="s">
        <v>97</v>
      </c>
      <c r="D12" s="8" t="s">
        <v>550</v>
      </c>
      <c r="E12" s="8" t="s">
        <v>551</v>
      </c>
      <c r="F12" s="8" t="s">
        <v>542</v>
      </c>
      <c r="G12" s="8" t="s">
        <v>552</v>
      </c>
    </row>
    <row r="13" spans="1:7" ht="55.05" customHeight="1" x14ac:dyDescent="0.3">
      <c r="A13" s="3" t="s">
        <v>220</v>
      </c>
      <c r="B13" s="11" t="s">
        <v>553</v>
      </c>
      <c r="C13" s="11" t="s">
        <v>554</v>
      </c>
      <c r="D13" s="11" t="s">
        <v>555</v>
      </c>
      <c r="E13" s="11" t="s">
        <v>556</v>
      </c>
      <c r="F13" s="11" t="s">
        <v>530</v>
      </c>
      <c r="G13" s="11" t="s">
        <v>531</v>
      </c>
    </row>
    <row r="14" spans="1:7" ht="55.05" customHeight="1" x14ac:dyDescent="0.3">
      <c r="A14" s="44" t="s">
        <v>225</v>
      </c>
      <c r="B14" s="8" t="s">
        <v>557</v>
      </c>
      <c r="C14" s="8" t="s">
        <v>226</v>
      </c>
      <c r="D14" s="8" t="s">
        <v>558</v>
      </c>
      <c r="E14" s="8" t="s">
        <v>559</v>
      </c>
      <c r="F14" s="8" t="s">
        <v>530</v>
      </c>
      <c r="G14" s="8" t="s">
        <v>538</v>
      </c>
    </row>
    <row r="15" spans="1:7" ht="55.05" customHeight="1" x14ac:dyDescent="0.3">
      <c r="A15" s="3" t="s">
        <v>231</v>
      </c>
      <c r="B15" s="11" t="s">
        <v>560</v>
      </c>
      <c r="C15" s="11" t="s">
        <v>233</v>
      </c>
      <c r="D15" s="11" t="s">
        <v>561</v>
      </c>
      <c r="E15" s="11" t="s">
        <v>562</v>
      </c>
      <c r="F15" s="11" t="s">
        <v>542</v>
      </c>
      <c r="G15" s="11" t="s">
        <v>563</v>
      </c>
    </row>
    <row r="17" spans="1:7" ht="22.05" customHeight="1" x14ac:dyDescent="0.3">
      <c r="A17" s="67" t="s">
        <v>564</v>
      </c>
      <c r="B17" s="68"/>
      <c r="C17" s="68"/>
      <c r="D17" s="68"/>
      <c r="E17" s="68"/>
      <c r="F17" s="68"/>
      <c r="G17" s="68"/>
    </row>
    <row r="18" spans="1:7" ht="18" customHeight="1" x14ac:dyDescent="0.3">
      <c r="A18" s="1" t="s">
        <v>565</v>
      </c>
      <c r="B18" s="1" t="s">
        <v>566</v>
      </c>
      <c r="C18" s="1" t="s">
        <v>567</v>
      </c>
      <c r="D18" s="1" t="s">
        <v>568</v>
      </c>
      <c r="E18" s="1" t="s">
        <v>26</v>
      </c>
      <c r="F18" s="1" t="s">
        <v>569</v>
      </c>
      <c r="G18" s="1" t="s">
        <v>570</v>
      </c>
    </row>
    <row r="19" spans="1:7" ht="45" customHeight="1" x14ac:dyDescent="0.3">
      <c r="A19" s="2" t="s">
        <v>571</v>
      </c>
      <c r="B19" s="10" t="s">
        <v>572</v>
      </c>
      <c r="C19" s="10" t="s">
        <v>573</v>
      </c>
      <c r="D19" s="10" t="s">
        <v>574</v>
      </c>
      <c r="E19" s="10" t="s">
        <v>575</v>
      </c>
      <c r="F19" s="10" t="s">
        <v>576</v>
      </c>
      <c r="G19" s="10" t="s">
        <v>577</v>
      </c>
    </row>
    <row r="20" spans="1:7" ht="45" customHeight="1" x14ac:dyDescent="0.3">
      <c r="A20" s="4" t="s">
        <v>578</v>
      </c>
      <c r="B20" s="12" t="s">
        <v>579</v>
      </c>
      <c r="C20" s="12" t="s">
        <v>580</v>
      </c>
      <c r="D20" s="12" t="s">
        <v>581</v>
      </c>
      <c r="E20" s="12" t="s">
        <v>582</v>
      </c>
      <c r="F20" s="12" t="s">
        <v>583</v>
      </c>
      <c r="G20" s="12" t="s">
        <v>584</v>
      </c>
    </row>
    <row r="21" spans="1:7" ht="45" customHeight="1" x14ac:dyDescent="0.3">
      <c r="A21" s="5" t="s">
        <v>585</v>
      </c>
      <c r="B21" s="13" t="s">
        <v>586</v>
      </c>
      <c r="C21" s="13" t="s">
        <v>587</v>
      </c>
      <c r="D21" s="13" t="s">
        <v>588</v>
      </c>
      <c r="E21" s="13" t="s">
        <v>589</v>
      </c>
      <c r="F21" s="13" t="s">
        <v>590</v>
      </c>
      <c r="G21" s="13" t="s">
        <v>591</v>
      </c>
    </row>
    <row r="24" spans="1:7" ht="22.05" customHeight="1" x14ac:dyDescent="0.3">
      <c r="A24" s="67" t="s">
        <v>592</v>
      </c>
      <c r="B24" s="68"/>
      <c r="C24" s="68"/>
      <c r="D24" s="68"/>
      <c r="E24" s="68"/>
      <c r="F24" s="68"/>
      <c r="G24" s="68"/>
    </row>
    <row r="25" spans="1:7" ht="27.6" x14ac:dyDescent="0.3">
      <c r="A25" s="1" t="s">
        <v>593</v>
      </c>
      <c r="B25" s="1" t="s">
        <v>594</v>
      </c>
      <c r="C25" s="1" t="s">
        <v>595</v>
      </c>
      <c r="D25" s="1" t="s">
        <v>596</v>
      </c>
      <c r="E25" s="1"/>
      <c r="F25" s="1"/>
      <c r="G25" s="1"/>
    </row>
    <row r="26" spans="1:7" ht="22.05" customHeight="1" x14ac:dyDescent="0.3">
      <c r="A26" s="7" t="s">
        <v>597</v>
      </c>
      <c r="B26" s="45" t="s">
        <v>598</v>
      </c>
      <c r="C26" s="45" t="s">
        <v>599</v>
      </c>
      <c r="D26" s="79" t="s">
        <v>600</v>
      </c>
      <c r="E26" s="62"/>
      <c r="F26" s="62"/>
      <c r="G26" s="63"/>
    </row>
    <row r="27" spans="1:7" ht="22.05" customHeight="1" x14ac:dyDescent="0.3">
      <c r="A27" s="44" t="s">
        <v>601</v>
      </c>
      <c r="B27" s="8" t="s">
        <v>598</v>
      </c>
      <c r="C27" s="8" t="s">
        <v>602</v>
      </c>
      <c r="D27" s="65" t="s">
        <v>603</v>
      </c>
      <c r="E27" s="62"/>
      <c r="F27" s="62"/>
      <c r="G27" s="63"/>
    </row>
    <row r="28" spans="1:7" ht="22.05" customHeight="1" x14ac:dyDescent="0.3">
      <c r="A28" s="7" t="s">
        <v>604</v>
      </c>
      <c r="B28" s="45" t="s">
        <v>605</v>
      </c>
      <c r="C28" s="45" t="s">
        <v>606</v>
      </c>
      <c r="D28" s="79" t="s">
        <v>607</v>
      </c>
      <c r="E28" s="62"/>
      <c r="F28" s="62"/>
      <c r="G28" s="63"/>
    </row>
    <row r="29" spans="1:7" ht="22.05" customHeight="1" x14ac:dyDescent="0.3">
      <c r="A29" s="44" t="s">
        <v>608</v>
      </c>
      <c r="B29" s="8" t="s">
        <v>609</v>
      </c>
      <c r="C29" s="8" t="s">
        <v>606</v>
      </c>
      <c r="D29" s="65" t="s">
        <v>610</v>
      </c>
      <c r="E29" s="62"/>
      <c r="F29" s="62"/>
      <c r="G29" s="63"/>
    </row>
    <row r="30" spans="1:7" ht="22.05" customHeight="1" x14ac:dyDescent="0.3">
      <c r="A30" s="28" t="s">
        <v>611</v>
      </c>
      <c r="B30" s="28" t="s">
        <v>612</v>
      </c>
      <c r="C30" s="28" t="s">
        <v>613</v>
      </c>
      <c r="D30" s="80" t="s">
        <v>614</v>
      </c>
      <c r="E30" s="62"/>
      <c r="F30" s="62"/>
      <c r="G30" s="63"/>
    </row>
  </sheetData>
  <mergeCells count="9">
    <mergeCell ref="A1:G1"/>
    <mergeCell ref="A17:G17"/>
    <mergeCell ref="D26:G26"/>
    <mergeCell ref="D30:G30"/>
    <mergeCell ref="A24:G24"/>
    <mergeCell ref="A2:G2"/>
    <mergeCell ref="D29:G29"/>
    <mergeCell ref="D27:G27"/>
    <mergeCell ref="D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showGridLines="0" topLeftCell="A25" workbookViewId="0">
      <selection activeCell="B27" sqref="B27:F27"/>
    </sheetView>
  </sheetViews>
  <sheetFormatPr defaultRowHeight="14.4" x14ac:dyDescent="0.3"/>
  <cols>
    <col min="1" max="1" width="36" customWidth="1"/>
    <col min="2" max="2" width="76" customWidth="1"/>
    <col min="3" max="6" width="20" customWidth="1"/>
  </cols>
  <sheetData>
    <row r="1" spans="1:6" ht="30" customHeight="1" x14ac:dyDescent="0.3">
      <c r="A1" s="75" t="s">
        <v>615</v>
      </c>
      <c r="B1" s="68"/>
      <c r="C1" s="68"/>
      <c r="D1" s="68"/>
      <c r="E1" s="68"/>
      <c r="F1" s="68"/>
    </row>
    <row r="2" spans="1:6" ht="22.05" customHeight="1" x14ac:dyDescent="0.3">
      <c r="A2" s="77" t="s">
        <v>616</v>
      </c>
      <c r="B2" s="68"/>
      <c r="C2" s="68"/>
      <c r="D2" s="68"/>
      <c r="E2" s="68"/>
      <c r="F2" s="68"/>
    </row>
    <row r="4" spans="1:6" ht="22.05" customHeight="1" x14ac:dyDescent="0.3">
      <c r="A4" s="78" t="s">
        <v>617</v>
      </c>
      <c r="B4" s="68"/>
      <c r="C4" s="68"/>
      <c r="D4" s="68"/>
      <c r="E4" s="68"/>
      <c r="F4" s="68"/>
    </row>
    <row r="5" spans="1:6" ht="40.049999999999997" customHeight="1" x14ac:dyDescent="0.3">
      <c r="A5" s="7" t="s">
        <v>618</v>
      </c>
      <c r="B5" s="65" t="s">
        <v>619</v>
      </c>
      <c r="C5" s="62"/>
      <c r="D5" s="62"/>
      <c r="E5" s="62"/>
      <c r="F5" s="63"/>
    </row>
    <row r="6" spans="1:6" ht="40.049999999999997" customHeight="1" x14ac:dyDescent="0.3">
      <c r="A6" s="7" t="s">
        <v>620</v>
      </c>
      <c r="B6" s="65" t="s">
        <v>621</v>
      </c>
      <c r="C6" s="62"/>
      <c r="D6" s="62"/>
      <c r="E6" s="62"/>
      <c r="F6" s="63"/>
    </row>
    <row r="7" spans="1:6" ht="40.049999999999997" customHeight="1" x14ac:dyDescent="0.3">
      <c r="A7" s="7" t="s">
        <v>622</v>
      </c>
      <c r="B7" s="65" t="s">
        <v>623</v>
      </c>
      <c r="C7" s="62"/>
      <c r="D7" s="62"/>
      <c r="E7" s="62"/>
      <c r="F7" s="63"/>
    </row>
    <row r="8" spans="1:6" ht="40.049999999999997" customHeight="1" x14ac:dyDescent="0.3">
      <c r="A8" s="7" t="s">
        <v>624</v>
      </c>
      <c r="B8" s="65" t="s">
        <v>625</v>
      </c>
      <c r="C8" s="62"/>
      <c r="D8" s="62"/>
      <c r="E8" s="62"/>
      <c r="F8" s="63"/>
    </row>
    <row r="10" spans="1:6" ht="22.05" customHeight="1" x14ac:dyDescent="0.3">
      <c r="A10" s="78" t="s">
        <v>626</v>
      </c>
      <c r="B10" s="68"/>
      <c r="C10" s="68"/>
      <c r="D10" s="68"/>
      <c r="E10" s="68"/>
      <c r="F10" s="68"/>
    </row>
    <row r="11" spans="1:6" ht="40.049999999999997" customHeight="1" x14ac:dyDescent="0.3">
      <c r="A11" s="7" t="s">
        <v>627</v>
      </c>
      <c r="B11" s="65" t="s">
        <v>628</v>
      </c>
      <c r="C11" s="62"/>
      <c r="D11" s="62"/>
      <c r="E11" s="62"/>
      <c r="F11" s="63"/>
    </row>
    <row r="12" spans="1:6" ht="40.049999999999997" customHeight="1" x14ac:dyDescent="0.3">
      <c r="A12" s="7" t="s">
        <v>629</v>
      </c>
      <c r="B12" s="65" t="s">
        <v>630</v>
      </c>
      <c r="C12" s="62"/>
      <c r="D12" s="62"/>
      <c r="E12" s="62"/>
      <c r="F12" s="63"/>
    </row>
    <row r="13" spans="1:6" ht="40.049999999999997" customHeight="1" x14ac:dyDescent="0.3">
      <c r="A13" s="7" t="s">
        <v>631</v>
      </c>
      <c r="B13" s="65" t="s">
        <v>632</v>
      </c>
      <c r="C13" s="62"/>
      <c r="D13" s="62"/>
      <c r="E13" s="62"/>
      <c r="F13" s="63"/>
    </row>
    <row r="14" spans="1:6" ht="40.049999999999997" customHeight="1" x14ac:dyDescent="0.3">
      <c r="A14" s="7" t="s">
        <v>633</v>
      </c>
      <c r="B14" s="65" t="s">
        <v>634</v>
      </c>
      <c r="C14" s="62"/>
      <c r="D14" s="62"/>
      <c r="E14" s="62"/>
      <c r="F14" s="63"/>
    </row>
    <row r="16" spans="1:6" ht="22.05" customHeight="1" x14ac:dyDescent="0.3">
      <c r="A16" s="81" t="s">
        <v>635</v>
      </c>
      <c r="B16" s="68"/>
      <c r="C16" s="68"/>
      <c r="D16" s="68"/>
      <c r="E16" s="68"/>
      <c r="F16" s="68"/>
    </row>
    <row r="17" spans="1:6" ht="40.049999999999997" customHeight="1" x14ac:dyDescent="0.3">
      <c r="A17" s="7" t="s">
        <v>636</v>
      </c>
      <c r="B17" s="65" t="s">
        <v>637</v>
      </c>
      <c r="C17" s="62"/>
      <c r="D17" s="62"/>
      <c r="E17" s="62"/>
      <c r="F17" s="63"/>
    </row>
    <row r="18" spans="1:6" ht="40.049999999999997" customHeight="1" x14ac:dyDescent="0.3">
      <c r="A18" s="7" t="s">
        <v>638</v>
      </c>
      <c r="B18" s="65" t="s">
        <v>639</v>
      </c>
      <c r="C18" s="62"/>
      <c r="D18" s="62"/>
      <c r="E18" s="62"/>
      <c r="F18" s="63"/>
    </row>
    <row r="19" spans="1:6" ht="40.049999999999997" customHeight="1" x14ac:dyDescent="0.3">
      <c r="A19" s="7" t="s">
        <v>640</v>
      </c>
      <c r="B19" s="65" t="s">
        <v>641</v>
      </c>
      <c r="C19" s="62"/>
      <c r="D19" s="62"/>
      <c r="E19" s="62"/>
      <c r="F19" s="63"/>
    </row>
    <row r="20" spans="1:6" ht="40.049999999999997" customHeight="1" x14ac:dyDescent="0.3">
      <c r="A20" s="7" t="s">
        <v>642</v>
      </c>
      <c r="B20" s="65" t="s">
        <v>643</v>
      </c>
      <c r="C20" s="62"/>
      <c r="D20" s="62"/>
      <c r="E20" s="62"/>
      <c r="F20" s="63"/>
    </row>
    <row r="21" spans="1:6" ht="40.049999999999997" customHeight="1" x14ac:dyDescent="0.3">
      <c r="A21" s="7" t="s">
        <v>644</v>
      </c>
      <c r="B21" s="65" t="s">
        <v>645</v>
      </c>
      <c r="C21" s="62"/>
      <c r="D21" s="62"/>
      <c r="E21" s="62"/>
      <c r="F21" s="63"/>
    </row>
    <row r="22" spans="1:6" ht="40.049999999999997" customHeight="1" x14ac:dyDescent="0.3">
      <c r="A22" s="7" t="s">
        <v>646</v>
      </c>
      <c r="B22" s="65" t="s">
        <v>647</v>
      </c>
      <c r="C22" s="62"/>
      <c r="D22" s="62"/>
      <c r="E22" s="62"/>
      <c r="F22" s="63"/>
    </row>
    <row r="24" spans="1:6" ht="22.05" customHeight="1" x14ac:dyDescent="0.3">
      <c r="A24" s="83" t="s">
        <v>648</v>
      </c>
      <c r="B24" s="68"/>
      <c r="C24" s="68"/>
      <c r="D24" s="68"/>
      <c r="E24" s="68"/>
      <c r="F24" s="68"/>
    </row>
    <row r="25" spans="1:6" ht="40.049999999999997" customHeight="1" x14ac:dyDescent="0.3">
      <c r="A25" s="7" t="s">
        <v>649</v>
      </c>
      <c r="B25" s="65"/>
      <c r="C25" s="62"/>
      <c r="D25" s="62"/>
      <c r="E25" s="62"/>
      <c r="F25" s="63"/>
    </row>
    <row r="26" spans="1:6" ht="40.049999999999997" customHeight="1" x14ac:dyDescent="0.3">
      <c r="A26" s="7" t="s">
        <v>650</v>
      </c>
      <c r="B26" s="65"/>
      <c r="C26" s="62"/>
      <c r="D26" s="62"/>
      <c r="E26" s="62"/>
      <c r="F26" s="63"/>
    </row>
    <row r="27" spans="1:6" ht="40.049999999999997" customHeight="1" x14ac:dyDescent="0.3">
      <c r="A27" s="7" t="s">
        <v>651</v>
      </c>
      <c r="B27" s="65" t="e">
        <f>(Total Inspected – Defect Count) / Total Inspected * 100</f>
        <v>#NAME?</v>
      </c>
      <c r="C27" s="62"/>
      <c r="D27" s="62"/>
      <c r="E27" s="62"/>
      <c r="F27" s="63"/>
    </row>
    <row r="28" spans="1:6" ht="40.049999999999997" customHeight="1" x14ac:dyDescent="0.3">
      <c r="A28" s="7" t="s">
        <v>652</v>
      </c>
      <c r="B28" s="65"/>
      <c r="C28" s="62"/>
      <c r="D28" s="62"/>
      <c r="E28" s="62"/>
      <c r="F28" s="63"/>
    </row>
    <row r="29" spans="1:6" ht="40.049999999999997" customHeight="1" x14ac:dyDescent="0.3">
      <c r="A29" s="7" t="s">
        <v>653</v>
      </c>
      <c r="B29" s="65"/>
      <c r="C29" s="62"/>
      <c r="D29" s="62"/>
      <c r="E29" s="62"/>
      <c r="F29" s="63"/>
    </row>
    <row r="30" spans="1:6" ht="40.049999999999997" customHeight="1" x14ac:dyDescent="0.3">
      <c r="A30" s="7" t="s">
        <v>654</v>
      </c>
      <c r="B30" s="65"/>
      <c r="C30" s="62"/>
      <c r="D30" s="62"/>
      <c r="E30" s="62"/>
      <c r="F30" s="63"/>
    </row>
    <row r="31" spans="1:6" ht="40.049999999999997" customHeight="1" x14ac:dyDescent="0.3">
      <c r="A31" s="7" t="s">
        <v>655</v>
      </c>
      <c r="B31" s="65"/>
      <c r="C31" s="62"/>
      <c r="D31" s="62"/>
      <c r="E31" s="62"/>
      <c r="F31" s="63"/>
    </row>
    <row r="32" spans="1:6" ht="40.049999999999997" customHeight="1" x14ac:dyDescent="0.3">
      <c r="A32" s="7" t="s">
        <v>656</v>
      </c>
      <c r="B32" s="65"/>
      <c r="C32" s="62"/>
      <c r="D32" s="62"/>
      <c r="E32" s="62"/>
      <c r="F32" s="63"/>
    </row>
    <row r="34" spans="1:6" ht="22.05" customHeight="1" x14ac:dyDescent="0.3">
      <c r="A34" s="82" t="s">
        <v>657</v>
      </c>
      <c r="B34" s="68"/>
      <c r="C34" s="68"/>
      <c r="D34" s="68"/>
      <c r="E34" s="68"/>
      <c r="F34" s="68"/>
    </row>
    <row r="35" spans="1:6" ht="40.049999999999997" customHeight="1" x14ac:dyDescent="0.3">
      <c r="A35" s="7" t="s">
        <v>658</v>
      </c>
      <c r="B35" s="65" t="s">
        <v>659</v>
      </c>
      <c r="C35" s="62"/>
      <c r="D35" s="62"/>
      <c r="E35" s="62"/>
      <c r="F35" s="63"/>
    </row>
    <row r="36" spans="1:6" ht="40.049999999999997" customHeight="1" x14ac:dyDescent="0.3">
      <c r="A36" s="7" t="s">
        <v>660</v>
      </c>
      <c r="B36" s="65" t="s">
        <v>661</v>
      </c>
      <c r="C36" s="62"/>
      <c r="D36" s="62"/>
      <c r="E36" s="62"/>
      <c r="F36" s="63"/>
    </row>
    <row r="37" spans="1:6" ht="40.049999999999997" customHeight="1" x14ac:dyDescent="0.3">
      <c r="A37" s="7" t="s">
        <v>662</v>
      </c>
      <c r="B37" s="65" t="s">
        <v>663</v>
      </c>
      <c r="C37" s="62"/>
      <c r="D37" s="62"/>
      <c r="E37" s="62"/>
      <c r="F37" s="63"/>
    </row>
    <row r="38" spans="1:6" ht="40.049999999999997" customHeight="1" x14ac:dyDescent="0.3">
      <c r="A38" s="7" t="s">
        <v>664</v>
      </c>
      <c r="B38" s="65" t="s">
        <v>665</v>
      </c>
      <c r="C38" s="62"/>
      <c r="D38" s="62"/>
      <c r="E38" s="62"/>
      <c r="F38" s="63"/>
    </row>
    <row r="39" spans="1:6" ht="40.049999999999997" customHeight="1" x14ac:dyDescent="0.3">
      <c r="A39" s="7" t="s">
        <v>666</v>
      </c>
      <c r="B39" s="65" t="s">
        <v>667</v>
      </c>
      <c r="C39" s="62"/>
      <c r="D39" s="62"/>
      <c r="E39" s="62"/>
      <c r="F39" s="63"/>
    </row>
  </sheetData>
  <mergeCells count="34">
    <mergeCell ref="B6:F6"/>
    <mergeCell ref="B20:F20"/>
    <mergeCell ref="A1:F1"/>
    <mergeCell ref="B5:F5"/>
    <mergeCell ref="B36:F36"/>
    <mergeCell ref="B32:F32"/>
    <mergeCell ref="B26:F26"/>
    <mergeCell ref="B35:F35"/>
    <mergeCell ref="A2:F2"/>
    <mergeCell ref="B12:F12"/>
    <mergeCell ref="B39:F39"/>
    <mergeCell ref="B11:F11"/>
    <mergeCell ref="A4:F4"/>
    <mergeCell ref="B14:F14"/>
    <mergeCell ref="B8:F8"/>
    <mergeCell ref="B17:F17"/>
    <mergeCell ref="B13:F13"/>
    <mergeCell ref="B29:F29"/>
    <mergeCell ref="A10:F10"/>
    <mergeCell ref="B38:F38"/>
    <mergeCell ref="B28:F28"/>
    <mergeCell ref="B19:F19"/>
    <mergeCell ref="B37:F37"/>
    <mergeCell ref="A34:F34"/>
    <mergeCell ref="A16:F16"/>
    <mergeCell ref="B7:F7"/>
    <mergeCell ref="B25:F25"/>
    <mergeCell ref="B31:F31"/>
    <mergeCell ref="B22:F22"/>
    <mergeCell ref="B18:F18"/>
    <mergeCell ref="B27:F27"/>
    <mergeCell ref="B21:F21"/>
    <mergeCell ref="A24:F24"/>
    <mergeCell ref="B30:F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7"/>
  <sheetViews>
    <sheetView showGridLines="0" topLeftCell="A41" workbookViewId="0">
      <selection sqref="A1:F1"/>
    </sheetView>
  </sheetViews>
  <sheetFormatPr defaultRowHeight="14.4" x14ac:dyDescent="0.3"/>
  <cols>
    <col min="1" max="1" width="38" customWidth="1"/>
    <col min="2" max="2" width="74" customWidth="1"/>
    <col min="3" max="6" width="20" customWidth="1"/>
  </cols>
  <sheetData>
    <row r="1" spans="1:6" ht="30" customHeight="1" x14ac:dyDescent="0.3">
      <c r="A1" s="75" t="s">
        <v>668</v>
      </c>
      <c r="B1" s="68"/>
      <c r="C1" s="68"/>
      <c r="D1" s="68"/>
      <c r="E1" s="68"/>
      <c r="F1" s="68"/>
    </row>
    <row r="2" spans="1:6" ht="22.05" customHeight="1" x14ac:dyDescent="0.3">
      <c r="A2" s="77" t="s">
        <v>669</v>
      </c>
      <c r="B2" s="68"/>
      <c r="C2" s="68"/>
      <c r="D2" s="68"/>
      <c r="E2" s="68"/>
      <c r="F2" s="68"/>
    </row>
    <row r="4" spans="1:6" ht="22.05" customHeight="1" x14ac:dyDescent="0.3">
      <c r="A4" s="78" t="s">
        <v>617</v>
      </c>
      <c r="B4" s="68"/>
      <c r="C4" s="68"/>
      <c r="D4" s="68"/>
      <c r="E4" s="68"/>
      <c r="F4" s="68"/>
    </row>
    <row r="5" spans="1:6" ht="45" customHeight="1" x14ac:dyDescent="0.3">
      <c r="A5" s="7" t="s">
        <v>618</v>
      </c>
      <c r="B5" s="65" t="s">
        <v>670</v>
      </c>
      <c r="C5" s="62"/>
      <c r="D5" s="62"/>
      <c r="E5" s="62"/>
      <c r="F5" s="63"/>
    </row>
    <row r="6" spans="1:6" ht="45" customHeight="1" x14ac:dyDescent="0.3">
      <c r="A6" s="7" t="s">
        <v>671</v>
      </c>
      <c r="B6" s="65" t="s">
        <v>672</v>
      </c>
      <c r="C6" s="62"/>
      <c r="D6" s="62"/>
      <c r="E6" s="62"/>
      <c r="F6" s="63"/>
    </row>
    <row r="7" spans="1:6" ht="45" customHeight="1" x14ac:dyDescent="0.3">
      <c r="A7" s="7" t="s">
        <v>622</v>
      </c>
      <c r="B7" s="65" t="s">
        <v>673</v>
      </c>
      <c r="C7" s="62"/>
      <c r="D7" s="62"/>
      <c r="E7" s="62"/>
      <c r="F7" s="63"/>
    </row>
    <row r="8" spans="1:6" ht="45" customHeight="1" x14ac:dyDescent="0.3">
      <c r="A8" s="7" t="s">
        <v>674</v>
      </c>
      <c r="B8" s="65" t="s">
        <v>675</v>
      </c>
      <c r="C8" s="62"/>
      <c r="D8" s="62"/>
      <c r="E8" s="62"/>
      <c r="F8" s="63"/>
    </row>
    <row r="10" spans="1:6" ht="22.05" customHeight="1" x14ac:dyDescent="0.3">
      <c r="A10" s="78" t="s">
        <v>676</v>
      </c>
      <c r="B10" s="68"/>
      <c r="C10" s="68"/>
      <c r="D10" s="68"/>
      <c r="E10" s="68"/>
      <c r="F10" s="68"/>
    </row>
    <row r="11" spans="1:6" ht="45" customHeight="1" x14ac:dyDescent="0.3">
      <c r="A11" s="7" t="s">
        <v>677</v>
      </c>
      <c r="B11" s="65" t="s">
        <v>678</v>
      </c>
      <c r="C11" s="62"/>
      <c r="D11" s="62"/>
      <c r="E11" s="62"/>
      <c r="F11" s="63"/>
    </row>
    <row r="12" spans="1:6" ht="45" customHeight="1" x14ac:dyDescent="0.3">
      <c r="A12" s="7" t="s">
        <v>679</v>
      </c>
      <c r="B12" s="65" t="s">
        <v>680</v>
      </c>
      <c r="C12" s="62"/>
      <c r="D12" s="62"/>
      <c r="E12" s="62"/>
      <c r="F12" s="63"/>
    </row>
    <row r="13" spans="1:6" ht="45" customHeight="1" x14ac:dyDescent="0.3">
      <c r="A13" s="7" t="s">
        <v>681</v>
      </c>
      <c r="B13" s="65" t="s">
        <v>682</v>
      </c>
      <c r="C13" s="62"/>
      <c r="D13" s="62"/>
      <c r="E13" s="62"/>
      <c r="F13" s="63"/>
    </row>
    <row r="14" spans="1:6" ht="45" customHeight="1" x14ac:dyDescent="0.3">
      <c r="A14" s="7" t="s">
        <v>683</v>
      </c>
      <c r="B14" s="65" t="s">
        <v>684</v>
      </c>
      <c r="C14" s="62"/>
      <c r="D14" s="62"/>
      <c r="E14" s="62"/>
      <c r="F14" s="63"/>
    </row>
    <row r="15" spans="1:6" ht="45" customHeight="1" x14ac:dyDescent="0.3">
      <c r="A15" s="7" t="s">
        <v>685</v>
      </c>
      <c r="B15" s="65" t="s">
        <v>686</v>
      </c>
      <c r="C15" s="62"/>
      <c r="D15" s="62"/>
      <c r="E15" s="62"/>
      <c r="F15" s="63"/>
    </row>
    <row r="17" spans="1:6" ht="22.05" customHeight="1" x14ac:dyDescent="0.3">
      <c r="A17" s="83" t="s">
        <v>687</v>
      </c>
      <c r="B17" s="68"/>
      <c r="C17" s="68"/>
      <c r="D17" s="68"/>
      <c r="E17" s="68"/>
      <c r="F17" s="68"/>
    </row>
    <row r="18" spans="1:6" ht="45" customHeight="1" x14ac:dyDescent="0.3">
      <c r="A18" s="7" t="s">
        <v>688</v>
      </c>
      <c r="B18" s="65" t="s">
        <v>689</v>
      </c>
      <c r="C18" s="62"/>
      <c r="D18" s="62"/>
      <c r="E18" s="62"/>
      <c r="F18" s="63"/>
    </row>
    <row r="19" spans="1:6" ht="45" customHeight="1" x14ac:dyDescent="0.3">
      <c r="A19" s="7" t="s">
        <v>690</v>
      </c>
      <c r="B19" s="65" t="s">
        <v>691</v>
      </c>
      <c r="C19" s="62"/>
      <c r="D19" s="62"/>
      <c r="E19" s="62"/>
      <c r="F19" s="63"/>
    </row>
    <row r="20" spans="1:6" ht="45" customHeight="1" x14ac:dyDescent="0.3">
      <c r="A20" s="7" t="s">
        <v>692</v>
      </c>
      <c r="B20" s="65" t="s">
        <v>693</v>
      </c>
      <c r="C20" s="62"/>
      <c r="D20" s="62"/>
      <c r="E20" s="62"/>
      <c r="F20" s="63"/>
    </row>
    <row r="21" spans="1:6" ht="45" customHeight="1" x14ac:dyDescent="0.3">
      <c r="A21" s="7" t="s">
        <v>694</v>
      </c>
      <c r="B21" s="65" t="s">
        <v>695</v>
      </c>
      <c r="C21" s="62"/>
      <c r="D21" s="62"/>
      <c r="E21" s="62"/>
      <c r="F21" s="63"/>
    </row>
    <row r="23" spans="1:6" ht="22.05" customHeight="1" x14ac:dyDescent="0.3">
      <c r="A23" s="81" t="s">
        <v>696</v>
      </c>
      <c r="B23" s="68"/>
      <c r="C23" s="68"/>
      <c r="D23" s="68"/>
      <c r="E23" s="68"/>
      <c r="F23" s="68"/>
    </row>
    <row r="24" spans="1:6" ht="45" customHeight="1" x14ac:dyDescent="0.3">
      <c r="A24" s="7" t="s">
        <v>697</v>
      </c>
      <c r="B24" s="65" t="s">
        <v>698</v>
      </c>
      <c r="C24" s="62"/>
      <c r="D24" s="62"/>
      <c r="E24" s="62"/>
      <c r="F24" s="63"/>
    </row>
    <row r="25" spans="1:6" ht="45" customHeight="1" x14ac:dyDescent="0.3">
      <c r="A25" s="7" t="s">
        <v>699</v>
      </c>
      <c r="B25" s="65" t="s">
        <v>700</v>
      </c>
      <c r="C25" s="62"/>
      <c r="D25" s="62"/>
      <c r="E25" s="62"/>
      <c r="F25" s="63"/>
    </row>
    <row r="26" spans="1:6" ht="45" customHeight="1" x14ac:dyDescent="0.3">
      <c r="A26" s="7" t="s">
        <v>701</v>
      </c>
      <c r="B26" s="65" t="s">
        <v>702</v>
      </c>
      <c r="C26" s="62"/>
      <c r="D26" s="62"/>
      <c r="E26" s="62"/>
      <c r="F26" s="63"/>
    </row>
    <row r="27" spans="1:6" ht="45" customHeight="1" x14ac:dyDescent="0.3">
      <c r="A27" s="7" t="s">
        <v>703</v>
      </c>
      <c r="B27" s="65" t="s">
        <v>704</v>
      </c>
      <c r="C27" s="62"/>
      <c r="D27" s="62"/>
      <c r="E27" s="62"/>
      <c r="F27" s="63"/>
    </row>
    <row r="28" spans="1:6" ht="45" customHeight="1" x14ac:dyDescent="0.3">
      <c r="A28" s="7" t="s">
        <v>705</v>
      </c>
      <c r="B28" s="65" t="s">
        <v>706</v>
      </c>
      <c r="C28" s="62"/>
      <c r="D28" s="62"/>
      <c r="E28" s="62"/>
      <c r="F28" s="63"/>
    </row>
    <row r="29" spans="1:6" ht="45" customHeight="1" x14ac:dyDescent="0.3">
      <c r="A29" s="7" t="s">
        <v>707</v>
      </c>
      <c r="B29" s="65" t="s">
        <v>708</v>
      </c>
      <c r="C29" s="62"/>
      <c r="D29" s="62"/>
      <c r="E29" s="62"/>
      <c r="F29" s="63"/>
    </row>
    <row r="31" spans="1:6" ht="22.05" customHeight="1" x14ac:dyDescent="0.3">
      <c r="A31" s="82" t="s">
        <v>709</v>
      </c>
      <c r="B31" s="68"/>
      <c r="C31" s="68"/>
      <c r="D31" s="68"/>
      <c r="E31" s="68"/>
      <c r="F31" s="68"/>
    </row>
    <row r="32" spans="1:6" ht="45" customHeight="1" x14ac:dyDescent="0.3">
      <c r="A32" s="7" t="s">
        <v>710</v>
      </c>
      <c r="B32" s="65"/>
      <c r="C32" s="62"/>
      <c r="D32" s="62"/>
      <c r="E32" s="62"/>
      <c r="F32" s="63"/>
    </row>
    <row r="33" spans="1:6" ht="45" customHeight="1" x14ac:dyDescent="0.3">
      <c r="A33" s="7" t="s">
        <v>711</v>
      </c>
      <c r="B33" s="65"/>
      <c r="C33" s="62"/>
      <c r="D33" s="62"/>
      <c r="E33" s="62"/>
      <c r="F33" s="63"/>
    </row>
    <row r="34" spans="1:6" ht="45" customHeight="1" x14ac:dyDescent="0.3">
      <c r="A34" s="7" t="s">
        <v>712</v>
      </c>
      <c r="B34" s="65"/>
      <c r="C34" s="62"/>
      <c r="D34" s="62"/>
      <c r="E34" s="62"/>
      <c r="F34" s="63"/>
    </row>
    <row r="35" spans="1:6" ht="45" customHeight="1" x14ac:dyDescent="0.3">
      <c r="A35" s="7" t="s">
        <v>713</v>
      </c>
      <c r="B35" s="65" t="e">
        <f>Performing Loans / Total Loans in Branch * 100</f>
        <v>#NAME?</v>
      </c>
      <c r="C35" s="62"/>
      <c r="D35" s="62"/>
      <c r="E35" s="62"/>
      <c r="F35" s="63"/>
    </row>
    <row r="36" spans="1:6" ht="45" customHeight="1" x14ac:dyDescent="0.3">
      <c r="A36" s="7" t="s">
        <v>714</v>
      </c>
      <c r="B36" s="65" t="e">
        <f>Avg transactions per Active customer per month</f>
        <v>#NAME?</v>
      </c>
      <c r="C36" s="62"/>
      <c r="D36" s="62"/>
      <c r="E36" s="62"/>
      <c r="F36" s="63"/>
    </row>
    <row r="37" spans="1:6" ht="45" customHeight="1" x14ac:dyDescent="0.3">
      <c r="A37" s="7" t="s">
        <v>715</v>
      </c>
      <c r="B37" s="65" t="s">
        <v>716</v>
      </c>
      <c r="C37" s="62"/>
      <c r="D37" s="62"/>
      <c r="E37" s="62"/>
      <c r="F37" s="63"/>
    </row>
    <row r="38" spans="1:6" ht="45" customHeight="1" x14ac:dyDescent="0.3">
      <c r="A38" s="7" t="s">
        <v>717</v>
      </c>
      <c r="B38" s="65" t="e">
        <f>Composite: Delinquency Rate + PAR30 + Avg credit score per zone</f>
        <v>#NAME?</v>
      </c>
      <c r="C38" s="62"/>
      <c r="D38" s="62"/>
      <c r="E38" s="62"/>
      <c r="F38" s="63"/>
    </row>
    <row r="39" spans="1:6" ht="45" customHeight="1" x14ac:dyDescent="0.3">
      <c r="A39" s="7" t="s">
        <v>718</v>
      </c>
      <c r="B39" s="65"/>
      <c r="C39" s="62"/>
      <c r="D39" s="62"/>
      <c r="E39" s="62"/>
      <c r="F39" s="63"/>
    </row>
    <row r="41" spans="1:6" ht="22.05" customHeight="1" x14ac:dyDescent="0.3">
      <c r="A41" s="72" t="s">
        <v>719</v>
      </c>
      <c r="B41" s="68"/>
      <c r="C41" s="68"/>
      <c r="D41" s="68"/>
      <c r="E41" s="68"/>
      <c r="F41" s="68"/>
    </row>
    <row r="42" spans="1:6" ht="45" customHeight="1" x14ac:dyDescent="0.3">
      <c r="A42" s="7" t="s">
        <v>720</v>
      </c>
      <c r="B42" s="65" t="s">
        <v>721</v>
      </c>
      <c r="C42" s="62"/>
      <c r="D42" s="62"/>
      <c r="E42" s="62"/>
      <c r="F42" s="63"/>
    </row>
    <row r="43" spans="1:6" ht="45" customHeight="1" x14ac:dyDescent="0.3">
      <c r="A43" s="7" t="s">
        <v>722</v>
      </c>
      <c r="B43" s="65" t="s">
        <v>723</v>
      </c>
      <c r="C43" s="62"/>
      <c r="D43" s="62"/>
      <c r="E43" s="62"/>
      <c r="F43" s="63"/>
    </row>
    <row r="44" spans="1:6" ht="45" customHeight="1" x14ac:dyDescent="0.3">
      <c r="A44" s="7" t="s">
        <v>724</v>
      </c>
      <c r="B44" s="65" t="s">
        <v>725</v>
      </c>
      <c r="C44" s="62"/>
      <c r="D44" s="62"/>
      <c r="E44" s="62"/>
      <c r="F44" s="63"/>
    </row>
    <row r="45" spans="1:6" ht="45" customHeight="1" x14ac:dyDescent="0.3">
      <c r="A45" s="7" t="s">
        <v>726</v>
      </c>
      <c r="B45" s="65" t="s">
        <v>727</v>
      </c>
      <c r="C45" s="62"/>
      <c r="D45" s="62"/>
      <c r="E45" s="62"/>
      <c r="F45" s="63"/>
    </row>
    <row r="46" spans="1:6" ht="45" customHeight="1" x14ac:dyDescent="0.3">
      <c r="A46" s="7" t="s">
        <v>728</v>
      </c>
      <c r="B46" s="65" t="s">
        <v>729</v>
      </c>
      <c r="C46" s="62"/>
      <c r="D46" s="62"/>
      <c r="E46" s="62"/>
      <c r="F46" s="63"/>
    </row>
    <row r="47" spans="1:6" ht="45" customHeight="1" x14ac:dyDescent="0.3">
      <c r="A47" s="7" t="s">
        <v>730</v>
      </c>
      <c r="B47" s="65" t="s">
        <v>731</v>
      </c>
      <c r="C47" s="62"/>
      <c r="D47" s="62"/>
      <c r="E47" s="62"/>
      <c r="F47" s="63"/>
    </row>
  </sheetData>
  <mergeCells count="41">
    <mergeCell ref="A1:F1"/>
    <mergeCell ref="B5:F5"/>
    <mergeCell ref="B45:F45"/>
    <mergeCell ref="B36:F36"/>
    <mergeCell ref="B32:F32"/>
    <mergeCell ref="B26:F26"/>
    <mergeCell ref="B35:F35"/>
    <mergeCell ref="B6:F6"/>
    <mergeCell ref="B24:F24"/>
    <mergeCell ref="B20:F20"/>
    <mergeCell ref="B15:F15"/>
    <mergeCell ref="B33:F33"/>
    <mergeCell ref="A2:F2"/>
    <mergeCell ref="B43:F43"/>
    <mergeCell ref="B12:F12"/>
    <mergeCell ref="B39:F39"/>
    <mergeCell ref="B11:F11"/>
    <mergeCell ref="A23:F23"/>
    <mergeCell ref="B42:F42"/>
    <mergeCell ref="A17:F17"/>
    <mergeCell ref="A4:F4"/>
    <mergeCell ref="B14:F14"/>
    <mergeCell ref="B8:F8"/>
    <mergeCell ref="B13:F13"/>
    <mergeCell ref="B29:F29"/>
    <mergeCell ref="A10:F10"/>
    <mergeCell ref="B38:F38"/>
    <mergeCell ref="B34:F34"/>
    <mergeCell ref="A41:F41"/>
    <mergeCell ref="B7:F7"/>
    <mergeCell ref="B47:F47"/>
    <mergeCell ref="B25:F25"/>
    <mergeCell ref="B46:F46"/>
    <mergeCell ref="B18:F18"/>
    <mergeCell ref="B27:F27"/>
    <mergeCell ref="B21:F21"/>
    <mergeCell ref="B44:F44"/>
    <mergeCell ref="B28:F28"/>
    <mergeCell ref="B19:F19"/>
    <mergeCell ref="A31:F31"/>
    <mergeCell ref="B37:F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2"/>
  <sheetViews>
    <sheetView showGridLines="0" topLeftCell="A16" workbookViewId="0">
      <selection sqref="A1:I1"/>
    </sheetView>
  </sheetViews>
  <sheetFormatPr defaultRowHeight="14.4" x14ac:dyDescent="0.3"/>
  <cols>
    <col min="1" max="1" width="30" customWidth="1"/>
    <col min="2" max="2" width="12" customWidth="1"/>
    <col min="3" max="8" width="16" customWidth="1"/>
    <col min="9" max="9" width="38" customWidth="1"/>
  </cols>
  <sheetData>
    <row r="1" spans="1:9" ht="30" customHeight="1" x14ac:dyDescent="0.3">
      <c r="A1" s="75" t="s">
        <v>732</v>
      </c>
      <c r="B1" s="68"/>
      <c r="C1" s="68"/>
      <c r="D1" s="68"/>
      <c r="E1" s="68"/>
      <c r="F1" s="68"/>
      <c r="G1" s="68"/>
      <c r="H1" s="68"/>
      <c r="I1" s="68"/>
    </row>
    <row r="2" spans="1:9" ht="19.95" customHeight="1" x14ac:dyDescent="0.3">
      <c r="A2" s="29" t="s">
        <v>733</v>
      </c>
      <c r="B2" s="29" t="s">
        <v>734</v>
      </c>
      <c r="C2" s="29" t="s">
        <v>735</v>
      </c>
      <c r="D2" s="29" t="s">
        <v>736</v>
      </c>
      <c r="E2" s="29" t="s">
        <v>47</v>
      </c>
      <c r="F2" s="29" t="s">
        <v>53</v>
      </c>
      <c r="G2" s="29" t="s">
        <v>58</v>
      </c>
      <c r="H2" s="29" t="s">
        <v>737</v>
      </c>
      <c r="I2" s="29" t="s">
        <v>738</v>
      </c>
    </row>
    <row r="3" spans="1:9" ht="22.05" customHeight="1" x14ac:dyDescent="0.3">
      <c r="A3" s="2" t="s">
        <v>739</v>
      </c>
      <c r="B3" s="34" t="s">
        <v>740</v>
      </c>
      <c r="C3" s="10" t="s">
        <v>133</v>
      </c>
      <c r="D3" s="10" t="s">
        <v>118</v>
      </c>
      <c r="E3" s="46" t="s">
        <v>741</v>
      </c>
      <c r="F3" s="47" t="s">
        <v>742</v>
      </c>
      <c r="G3" s="46" t="s">
        <v>741</v>
      </c>
      <c r="H3" s="48" t="s">
        <v>743</v>
      </c>
      <c r="I3" s="10" t="s">
        <v>744</v>
      </c>
    </row>
    <row r="4" spans="1:9" ht="22.05" customHeight="1" x14ac:dyDescent="0.3">
      <c r="A4" s="2" t="s">
        <v>745</v>
      </c>
      <c r="B4" s="34" t="s">
        <v>740</v>
      </c>
      <c r="C4" s="10" t="s">
        <v>133</v>
      </c>
      <c r="D4" s="10" t="s">
        <v>133</v>
      </c>
      <c r="E4" s="46" t="s">
        <v>741</v>
      </c>
      <c r="F4" s="47" t="s">
        <v>742</v>
      </c>
      <c r="G4" s="46" t="s">
        <v>741</v>
      </c>
      <c r="H4" s="48" t="s">
        <v>743</v>
      </c>
      <c r="I4" s="10" t="s">
        <v>746</v>
      </c>
    </row>
    <row r="5" spans="1:9" ht="22.05" customHeight="1" x14ac:dyDescent="0.3">
      <c r="A5" s="2" t="s">
        <v>747</v>
      </c>
      <c r="B5" s="34" t="s">
        <v>740</v>
      </c>
      <c r="C5" s="10" t="s">
        <v>118</v>
      </c>
      <c r="D5" s="10" t="s">
        <v>118</v>
      </c>
      <c r="E5" s="46" t="s">
        <v>741</v>
      </c>
      <c r="F5" s="47" t="s">
        <v>742</v>
      </c>
      <c r="G5" s="46" t="s">
        <v>741</v>
      </c>
      <c r="H5" s="48" t="s">
        <v>743</v>
      </c>
      <c r="I5" s="10" t="s">
        <v>748</v>
      </c>
    </row>
    <row r="6" spans="1:9" ht="22.05" customHeight="1" x14ac:dyDescent="0.3">
      <c r="A6" s="2" t="s">
        <v>749</v>
      </c>
      <c r="B6" s="34" t="s">
        <v>740</v>
      </c>
      <c r="C6" s="10" t="s">
        <v>118</v>
      </c>
      <c r="D6" s="10" t="s">
        <v>124</v>
      </c>
      <c r="E6" s="46" t="s">
        <v>741</v>
      </c>
      <c r="F6" s="47" t="s">
        <v>742</v>
      </c>
      <c r="G6" s="46" t="s">
        <v>741</v>
      </c>
      <c r="H6" s="48" t="s">
        <v>743</v>
      </c>
      <c r="I6" s="10" t="s">
        <v>750</v>
      </c>
    </row>
    <row r="7" spans="1:9" ht="22.05" customHeight="1" x14ac:dyDescent="0.3">
      <c r="A7" s="2" t="s">
        <v>751</v>
      </c>
      <c r="B7" s="34" t="s">
        <v>740</v>
      </c>
      <c r="C7" s="10" t="s">
        <v>124</v>
      </c>
      <c r="D7" s="10" t="s">
        <v>124</v>
      </c>
      <c r="E7" s="46" t="s">
        <v>741</v>
      </c>
      <c r="F7" s="46" t="s">
        <v>741</v>
      </c>
      <c r="G7" s="46" t="s">
        <v>741</v>
      </c>
      <c r="H7" s="46" t="s">
        <v>741</v>
      </c>
      <c r="I7" s="10" t="s">
        <v>752</v>
      </c>
    </row>
    <row r="8" spans="1:9" ht="22.05" customHeight="1" x14ac:dyDescent="0.3">
      <c r="A8" s="2" t="s">
        <v>753</v>
      </c>
      <c r="B8" s="34" t="s">
        <v>740</v>
      </c>
      <c r="C8" s="10" t="s">
        <v>124</v>
      </c>
      <c r="D8" s="10" t="s">
        <v>754</v>
      </c>
      <c r="E8" s="46" t="s">
        <v>741</v>
      </c>
      <c r="F8" s="46" t="s">
        <v>741</v>
      </c>
      <c r="G8" s="46" t="s">
        <v>741</v>
      </c>
      <c r="H8" s="46" t="s">
        <v>741</v>
      </c>
      <c r="I8" s="10" t="s">
        <v>755</v>
      </c>
    </row>
    <row r="9" spans="1:9" ht="22.05" customHeight="1" x14ac:dyDescent="0.3">
      <c r="A9" s="2" t="s">
        <v>756</v>
      </c>
      <c r="B9" s="34" t="s">
        <v>740</v>
      </c>
      <c r="C9" s="10" t="s">
        <v>754</v>
      </c>
      <c r="D9" s="10" t="s">
        <v>754</v>
      </c>
      <c r="E9" s="48" t="s">
        <v>743</v>
      </c>
      <c r="F9" s="47" t="s">
        <v>742</v>
      </c>
      <c r="G9" s="46" t="s">
        <v>741</v>
      </c>
      <c r="H9" s="49" t="s">
        <v>757</v>
      </c>
      <c r="I9" s="10" t="s">
        <v>758</v>
      </c>
    </row>
    <row r="10" spans="1:9" ht="22.05" customHeight="1" x14ac:dyDescent="0.3">
      <c r="A10" s="2" t="s">
        <v>759</v>
      </c>
      <c r="B10" s="34" t="s">
        <v>740</v>
      </c>
      <c r="C10" s="10" t="s">
        <v>754</v>
      </c>
      <c r="D10" s="10" t="s">
        <v>760</v>
      </c>
      <c r="E10" s="46" t="s">
        <v>741</v>
      </c>
      <c r="F10" s="46" t="s">
        <v>741</v>
      </c>
      <c r="G10" s="46" t="s">
        <v>741</v>
      </c>
      <c r="H10" s="46" t="s">
        <v>741</v>
      </c>
      <c r="I10" s="10" t="s">
        <v>761</v>
      </c>
    </row>
    <row r="11" spans="1:9" ht="22.05" customHeight="1" x14ac:dyDescent="0.3">
      <c r="A11" s="2" t="s">
        <v>762</v>
      </c>
      <c r="B11" s="34" t="s">
        <v>740</v>
      </c>
      <c r="C11" s="10" t="s">
        <v>760</v>
      </c>
      <c r="D11" s="10" t="s">
        <v>105</v>
      </c>
      <c r="E11" s="47" t="s">
        <v>742</v>
      </c>
      <c r="F11" s="46" t="s">
        <v>741</v>
      </c>
      <c r="G11" s="46" t="s">
        <v>741</v>
      </c>
      <c r="H11" s="46" t="s">
        <v>741</v>
      </c>
      <c r="I11" s="10" t="s">
        <v>763</v>
      </c>
    </row>
    <row r="12" spans="1:9" ht="22.05" customHeight="1" x14ac:dyDescent="0.3">
      <c r="A12" s="2" t="s">
        <v>764</v>
      </c>
      <c r="B12" s="34" t="s">
        <v>740</v>
      </c>
      <c r="C12" s="10" t="s">
        <v>105</v>
      </c>
      <c r="D12" s="10" t="s">
        <v>105</v>
      </c>
      <c r="E12" s="47" t="s">
        <v>742</v>
      </c>
      <c r="F12" s="49" t="s">
        <v>757</v>
      </c>
      <c r="G12" s="50" t="s">
        <v>765</v>
      </c>
      <c r="H12" s="46" t="s">
        <v>741</v>
      </c>
      <c r="I12" s="10" t="s">
        <v>766</v>
      </c>
    </row>
    <row r="13" spans="1:9" ht="22.05" customHeight="1" x14ac:dyDescent="0.3">
      <c r="A13" s="2" t="s">
        <v>767</v>
      </c>
      <c r="B13" s="34" t="s">
        <v>740</v>
      </c>
      <c r="C13" s="10" t="s">
        <v>768</v>
      </c>
      <c r="D13" s="10" t="s">
        <v>769</v>
      </c>
      <c r="E13" s="47" t="s">
        <v>742</v>
      </c>
      <c r="F13" s="46" t="s">
        <v>741</v>
      </c>
      <c r="G13" s="47" t="s">
        <v>742</v>
      </c>
      <c r="H13" s="47" t="s">
        <v>742</v>
      </c>
      <c r="I13" s="10" t="s">
        <v>770</v>
      </c>
    </row>
    <row r="14" spans="1:9" ht="22.05" customHeight="1" x14ac:dyDescent="0.3">
      <c r="A14" s="2" t="s">
        <v>771</v>
      </c>
      <c r="B14" s="34" t="s">
        <v>740</v>
      </c>
      <c r="C14" s="10" t="s">
        <v>768</v>
      </c>
      <c r="D14" s="10" t="s">
        <v>769</v>
      </c>
      <c r="E14" s="47" t="s">
        <v>742</v>
      </c>
      <c r="F14" s="49" t="s">
        <v>757</v>
      </c>
      <c r="G14" s="46" t="s">
        <v>741</v>
      </c>
      <c r="H14" s="47" t="s">
        <v>742</v>
      </c>
      <c r="I14" s="10" t="s">
        <v>772</v>
      </c>
    </row>
    <row r="15" spans="1:9" ht="22.05" customHeight="1" x14ac:dyDescent="0.3">
      <c r="A15" s="2" t="s">
        <v>773</v>
      </c>
      <c r="B15" s="34" t="s">
        <v>740</v>
      </c>
      <c r="C15" s="10" t="s">
        <v>774</v>
      </c>
      <c r="D15" s="10" t="s">
        <v>769</v>
      </c>
      <c r="E15" s="47" t="s">
        <v>742</v>
      </c>
      <c r="F15" s="46" t="s">
        <v>741</v>
      </c>
      <c r="G15" s="47" t="s">
        <v>742</v>
      </c>
      <c r="H15" s="47" t="s">
        <v>742</v>
      </c>
      <c r="I15" s="10" t="s">
        <v>775</v>
      </c>
    </row>
    <row r="16" spans="1:9" ht="22.05" customHeight="1" x14ac:dyDescent="0.3">
      <c r="A16" s="2" t="s">
        <v>104</v>
      </c>
      <c r="B16" s="34" t="s">
        <v>740</v>
      </c>
      <c r="C16" s="10" t="s">
        <v>88</v>
      </c>
      <c r="D16" s="10" t="s">
        <v>88</v>
      </c>
      <c r="E16" s="46" t="s">
        <v>741</v>
      </c>
      <c r="F16" s="49" t="s">
        <v>757</v>
      </c>
      <c r="G16" s="46" t="s">
        <v>741</v>
      </c>
      <c r="H16" s="46" t="s">
        <v>741</v>
      </c>
      <c r="I16" s="10" t="s">
        <v>776</v>
      </c>
    </row>
    <row r="17" spans="1:9" ht="22.05" customHeight="1" x14ac:dyDescent="0.3">
      <c r="A17" s="2" t="s">
        <v>429</v>
      </c>
      <c r="B17" s="34" t="s">
        <v>740</v>
      </c>
      <c r="C17" s="10" t="s">
        <v>777</v>
      </c>
      <c r="D17" s="10" t="s">
        <v>777</v>
      </c>
      <c r="E17" s="46" t="s">
        <v>741</v>
      </c>
      <c r="F17" s="49" t="s">
        <v>757</v>
      </c>
      <c r="G17" s="49" t="s">
        <v>757</v>
      </c>
      <c r="H17" s="49" t="s">
        <v>757</v>
      </c>
      <c r="I17" s="10" t="s">
        <v>778</v>
      </c>
    </row>
    <row r="18" spans="1:9" ht="22.05" customHeight="1" x14ac:dyDescent="0.3">
      <c r="A18" s="2" t="s">
        <v>779</v>
      </c>
      <c r="B18" s="34" t="s">
        <v>740</v>
      </c>
      <c r="C18" s="10" t="s">
        <v>777</v>
      </c>
      <c r="D18" s="10" t="s">
        <v>777</v>
      </c>
      <c r="E18" s="47" t="s">
        <v>742</v>
      </c>
      <c r="F18" s="49" t="s">
        <v>757</v>
      </c>
      <c r="G18" s="49" t="s">
        <v>757</v>
      </c>
      <c r="H18" s="48" t="s">
        <v>743</v>
      </c>
      <c r="I18" s="10" t="s">
        <v>780</v>
      </c>
    </row>
    <row r="19" spans="1:9" ht="22.05" customHeight="1" x14ac:dyDescent="0.3">
      <c r="A19" s="2" t="s">
        <v>781</v>
      </c>
      <c r="B19" s="34" t="s">
        <v>740</v>
      </c>
      <c r="C19" s="10" t="s">
        <v>777</v>
      </c>
      <c r="D19" s="10" t="s">
        <v>82</v>
      </c>
      <c r="E19" s="47" t="s">
        <v>742</v>
      </c>
      <c r="F19" s="49" t="s">
        <v>757</v>
      </c>
      <c r="G19" s="49" t="s">
        <v>757</v>
      </c>
      <c r="H19" s="48" t="s">
        <v>743</v>
      </c>
      <c r="I19" s="10" t="s">
        <v>782</v>
      </c>
    </row>
    <row r="20" spans="1:9" ht="22.05" customHeight="1" x14ac:dyDescent="0.3">
      <c r="A20" s="2" t="s">
        <v>132</v>
      </c>
      <c r="B20" s="34" t="s">
        <v>740</v>
      </c>
      <c r="C20" s="10" t="s">
        <v>82</v>
      </c>
      <c r="D20" s="10" t="s">
        <v>82</v>
      </c>
      <c r="E20" s="46" t="s">
        <v>741</v>
      </c>
      <c r="F20" s="46" t="s">
        <v>741</v>
      </c>
      <c r="G20" s="46" t="s">
        <v>741</v>
      </c>
      <c r="H20" s="46" t="s">
        <v>741</v>
      </c>
      <c r="I20" s="10" t="s">
        <v>783</v>
      </c>
    </row>
    <row r="21" spans="1:9" ht="22.05" customHeight="1" x14ac:dyDescent="0.3">
      <c r="A21" s="4" t="s">
        <v>117</v>
      </c>
      <c r="B21" s="35" t="s">
        <v>784</v>
      </c>
      <c r="C21" s="12" t="s">
        <v>785</v>
      </c>
      <c r="D21" s="12" t="s">
        <v>785</v>
      </c>
      <c r="E21" s="51" t="s">
        <v>741</v>
      </c>
      <c r="F21" s="52" t="s">
        <v>743</v>
      </c>
      <c r="G21" s="51" t="s">
        <v>741</v>
      </c>
      <c r="H21" s="51" t="s">
        <v>741</v>
      </c>
      <c r="I21" s="12" t="s">
        <v>786</v>
      </c>
    </row>
    <row r="22" spans="1:9" ht="22.05" customHeight="1" x14ac:dyDescent="0.3">
      <c r="A22" s="4" t="s">
        <v>123</v>
      </c>
      <c r="B22" s="35" t="s">
        <v>784</v>
      </c>
      <c r="C22" s="12" t="s">
        <v>785</v>
      </c>
      <c r="D22" s="12" t="s">
        <v>785</v>
      </c>
      <c r="E22" s="51" t="s">
        <v>741</v>
      </c>
      <c r="F22" s="53" t="s">
        <v>757</v>
      </c>
      <c r="G22" s="51" t="s">
        <v>741</v>
      </c>
      <c r="H22" s="51" t="s">
        <v>741</v>
      </c>
      <c r="I22" s="12" t="s">
        <v>787</v>
      </c>
    </row>
    <row r="23" spans="1:9" ht="22.05" customHeight="1" x14ac:dyDescent="0.3">
      <c r="A23" s="4" t="s">
        <v>128</v>
      </c>
      <c r="B23" s="35" t="s">
        <v>784</v>
      </c>
      <c r="C23" s="12" t="s">
        <v>785</v>
      </c>
      <c r="D23" s="12" t="s">
        <v>785</v>
      </c>
      <c r="E23" s="54" t="s">
        <v>788</v>
      </c>
      <c r="F23" s="53" t="s">
        <v>757</v>
      </c>
      <c r="G23" s="54" t="s">
        <v>788</v>
      </c>
      <c r="H23" s="54" t="s">
        <v>788</v>
      </c>
      <c r="I23" s="12" t="s">
        <v>789</v>
      </c>
    </row>
    <row r="26" spans="1:9" ht="19.95" customHeight="1" x14ac:dyDescent="0.3">
      <c r="A26" s="73" t="s">
        <v>790</v>
      </c>
      <c r="B26" s="68"/>
      <c r="C26" s="68"/>
      <c r="D26" s="68"/>
      <c r="E26" s="68"/>
      <c r="F26" s="68"/>
      <c r="G26" s="68"/>
      <c r="H26" s="68"/>
      <c r="I26" s="68"/>
    </row>
    <row r="27" spans="1:9" ht="19.95" customHeight="1" x14ac:dyDescent="0.3">
      <c r="A27" s="55" t="s">
        <v>742</v>
      </c>
      <c r="B27" s="65" t="s">
        <v>791</v>
      </c>
      <c r="C27" s="62"/>
      <c r="D27" s="62"/>
      <c r="E27" s="62"/>
      <c r="F27" s="62"/>
      <c r="G27" s="62"/>
      <c r="H27" s="62"/>
      <c r="I27" s="63"/>
    </row>
    <row r="28" spans="1:9" ht="19.95" customHeight="1" x14ac:dyDescent="0.3">
      <c r="A28" s="56" t="s">
        <v>741</v>
      </c>
      <c r="B28" s="65" t="s">
        <v>792</v>
      </c>
      <c r="C28" s="62"/>
      <c r="D28" s="62"/>
      <c r="E28" s="62"/>
      <c r="F28" s="62"/>
      <c r="G28" s="62"/>
      <c r="H28" s="62"/>
      <c r="I28" s="63"/>
    </row>
    <row r="29" spans="1:9" ht="19.95" customHeight="1" x14ac:dyDescent="0.3">
      <c r="A29" s="57" t="s">
        <v>765</v>
      </c>
      <c r="B29" s="65" t="s">
        <v>793</v>
      </c>
      <c r="C29" s="62"/>
      <c r="D29" s="62"/>
      <c r="E29" s="62"/>
      <c r="F29" s="62"/>
      <c r="G29" s="62"/>
      <c r="H29" s="62"/>
      <c r="I29" s="63"/>
    </row>
    <row r="30" spans="1:9" ht="19.95" customHeight="1" x14ac:dyDescent="0.3">
      <c r="A30" s="58" t="s">
        <v>743</v>
      </c>
      <c r="B30" s="65" t="s">
        <v>794</v>
      </c>
      <c r="C30" s="62"/>
      <c r="D30" s="62"/>
      <c r="E30" s="62"/>
      <c r="F30" s="62"/>
      <c r="G30" s="62"/>
      <c r="H30" s="62"/>
      <c r="I30" s="63"/>
    </row>
    <row r="31" spans="1:9" ht="19.95" customHeight="1" x14ac:dyDescent="0.3">
      <c r="A31" s="59" t="s">
        <v>788</v>
      </c>
      <c r="B31" s="65" t="s">
        <v>795</v>
      </c>
      <c r="C31" s="62"/>
      <c r="D31" s="62"/>
      <c r="E31" s="62"/>
      <c r="F31" s="62"/>
      <c r="G31" s="62"/>
      <c r="H31" s="62"/>
      <c r="I31" s="63"/>
    </row>
    <row r="32" spans="1:9" ht="19.95" customHeight="1" x14ac:dyDescent="0.3">
      <c r="A32" s="60" t="s">
        <v>757</v>
      </c>
      <c r="B32" s="65" t="s">
        <v>796</v>
      </c>
      <c r="C32" s="62"/>
      <c r="D32" s="62"/>
      <c r="E32" s="62"/>
      <c r="F32" s="62"/>
      <c r="G32" s="62"/>
      <c r="H32" s="62"/>
      <c r="I32" s="63"/>
    </row>
  </sheetData>
  <mergeCells count="8">
    <mergeCell ref="B32:I32"/>
    <mergeCell ref="B27:I27"/>
    <mergeCell ref="A26:I26"/>
    <mergeCell ref="B30:I30"/>
    <mergeCell ref="B29:I29"/>
    <mergeCell ref="A1:I1"/>
    <mergeCell ref="B28:I28"/>
    <mergeCell ref="B31:I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0"/>
  <sheetViews>
    <sheetView showGridLines="0" tabSelected="1" topLeftCell="A32" workbookViewId="0">
      <selection sqref="A1:E1"/>
    </sheetView>
  </sheetViews>
  <sheetFormatPr defaultRowHeight="14.4" x14ac:dyDescent="0.3"/>
  <cols>
    <col min="1" max="1" width="32" customWidth="1"/>
    <col min="2" max="2" width="88" customWidth="1"/>
    <col min="3" max="5" width="28" customWidth="1"/>
  </cols>
  <sheetData>
    <row r="1" spans="1:5" ht="30" customHeight="1" x14ac:dyDescent="0.3">
      <c r="A1" s="75" t="s">
        <v>797</v>
      </c>
      <c r="B1" s="68"/>
      <c r="C1" s="68"/>
      <c r="D1" s="68"/>
      <c r="E1" s="68"/>
    </row>
    <row r="3" spans="1:5" ht="22.05" customHeight="1" x14ac:dyDescent="0.3">
      <c r="A3" s="77" t="s">
        <v>798</v>
      </c>
      <c r="B3" s="68"/>
      <c r="C3" s="68"/>
      <c r="D3" s="68"/>
      <c r="E3" s="68"/>
    </row>
    <row r="4" spans="1:5" ht="45" customHeight="1" x14ac:dyDescent="0.3">
      <c r="A4" s="7" t="s">
        <v>799</v>
      </c>
      <c r="B4" s="65" t="s">
        <v>800</v>
      </c>
      <c r="C4" s="62"/>
      <c r="D4" s="62"/>
      <c r="E4" s="63"/>
    </row>
    <row r="5" spans="1:5" ht="45" customHeight="1" x14ac:dyDescent="0.3">
      <c r="A5" s="7" t="s">
        <v>801</v>
      </c>
      <c r="B5" s="65" t="s">
        <v>802</v>
      </c>
      <c r="C5" s="62"/>
      <c r="D5" s="62"/>
      <c r="E5" s="63"/>
    </row>
    <row r="6" spans="1:5" ht="45" customHeight="1" x14ac:dyDescent="0.3">
      <c r="A6" s="7" t="s">
        <v>803</v>
      </c>
      <c r="B6" s="65" t="s">
        <v>804</v>
      </c>
      <c r="C6" s="62"/>
      <c r="D6" s="62"/>
      <c r="E6" s="63"/>
    </row>
    <row r="7" spans="1:5" ht="45" customHeight="1" x14ac:dyDescent="0.3">
      <c r="A7" s="7" t="s">
        <v>805</v>
      </c>
      <c r="B7" s="65" t="s">
        <v>806</v>
      </c>
      <c r="C7" s="62"/>
      <c r="D7" s="62"/>
      <c r="E7" s="63"/>
    </row>
    <row r="8" spans="1:5" ht="45" customHeight="1" x14ac:dyDescent="0.3">
      <c r="A8" s="7" t="s">
        <v>807</v>
      </c>
      <c r="B8" s="65" t="s">
        <v>808</v>
      </c>
      <c r="C8" s="62"/>
      <c r="D8" s="62"/>
      <c r="E8" s="63"/>
    </row>
    <row r="9" spans="1:5" ht="45" customHeight="1" x14ac:dyDescent="0.3">
      <c r="A9" s="7" t="s">
        <v>809</v>
      </c>
      <c r="B9" s="65" t="s">
        <v>810</v>
      </c>
      <c r="C9" s="62"/>
      <c r="D9" s="62"/>
      <c r="E9" s="63"/>
    </row>
    <row r="11" spans="1:5" ht="22.05" customHeight="1" x14ac:dyDescent="0.3">
      <c r="A11" s="78" t="s">
        <v>811</v>
      </c>
      <c r="B11" s="68"/>
      <c r="C11" s="68"/>
      <c r="D11" s="68"/>
      <c r="E11" s="68"/>
    </row>
    <row r="12" spans="1:5" ht="45" customHeight="1" x14ac:dyDescent="0.3">
      <c r="A12" s="7" t="s">
        <v>812</v>
      </c>
      <c r="B12" s="65" t="s">
        <v>813</v>
      </c>
      <c r="C12" s="62"/>
      <c r="D12" s="62"/>
      <c r="E12" s="63"/>
    </row>
    <row r="13" spans="1:5" ht="45" customHeight="1" x14ac:dyDescent="0.3">
      <c r="A13" s="7" t="s">
        <v>814</v>
      </c>
      <c r="B13" s="65" t="s">
        <v>815</v>
      </c>
      <c r="C13" s="62"/>
      <c r="D13" s="62"/>
      <c r="E13" s="63"/>
    </row>
    <row r="14" spans="1:5" ht="45" customHeight="1" x14ac:dyDescent="0.3">
      <c r="A14" s="7" t="s">
        <v>816</v>
      </c>
      <c r="B14" s="65" t="s">
        <v>817</v>
      </c>
      <c r="C14" s="62"/>
      <c r="D14" s="62"/>
      <c r="E14" s="63"/>
    </row>
    <row r="15" spans="1:5" ht="45" customHeight="1" x14ac:dyDescent="0.3">
      <c r="A15" s="7" t="s">
        <v>818</v>
      </c>
      <c r="B15" s="65" t="s">
        <v>819</v>
      </c>
      <c r="C15" s="62"/>
      <c r="D15" s="62"/>
      <c r="E15" s="63"/>
    </row>
    <row r="16" spans="1:5" ht="45" customHeight="1" x14ac:dyDescent="0.3">
      <c r="A16" s="7" t="s">
        <v>820</v>
      </c>
      <c r="B16" s="65" t="s">
        <v>821</v>
      </c>
      <c r="C16" s="62"/>
      <c r="D16" s="62"/>
      <c r="E16" s="63"/>
    </row>
    <row r="17" spans="1:5" ht="45" customHeight="1" x14ac:dyDescent="0.3">
      <c r="A17" s="7" t="s">
        <v>822</v>
      </c>
      <c r="B17" s="65" t="s">
        <v>823</v>
      </c>
      <c r="C17" s="62"/>
      <c r="D17" s="62"/>
      <c r="E17" s="63"/>
    </row>
    <row r="18" spans="1:5" ht="45" customHeight="1" x14ac:dyDescent="0.3">
      <c r="A18" s="7" t="s">
        <v>824</v>
      </c>
      <c r="B18" s="65" t="s">
        <v>825</v>
      </c>
      <c r="C18" s="62"/>
      <c r="D18" s="62"/>
      <c r="E18" s="63"/>
    </row>
    <row r="20" spans="1:5" ht="22.05" customHeight="1" x14ac:dyDescent="0.3">
      <c r="A20" s="83" t="s">
        <v>826</v>
      </c>
      <c r="B20" s="68"/>
      <c r="C20" s="68"/>
      <c r="D20" s="68"/>
      <c r="E20" s="68"/>
    </row>
    <row r="21" spans="1:5" ht="45" customHeight="1" x14ac:dyDescent="0.3">
      <c r="A21" s="7" t="s">
        <v>827</v>
      </c>
      <c r="B21" s="65" t="s">
        <v>828</v>
      </c>
      <c r="C21" s="62"/>
      <c r="D21" s="62"/>
      <c r="E21" s="63"/>
    </row>
    <row r="22" spans="1:5" ht="45" customHeight="1" x14ac:dyDescent="0.3">
      <c r="A22" s="7" t="s">
        <v>829</v>
      </c>
      <c r="B22" s="65" t="s">
        <v>830</v>
      </c>
      <c r="C22" s="62"/>
      <c r="D22" s="62"/>
      <c r="E22" s="63"/>
    </row>
    <row r="23" spans="1:5" ht="45" customHeight="1" x14ac:dyDescent="0.3">
      <c r="A23" s="7" t="s">
        <v>831</v>
      </c>
      <c r="B23" s="65" t="s">
        <v>832</v>
      </c>
      <c r="C23" s="62"/>
      <c r="D23" s="62"/>
      <c r="E23" s="63"/>
    </row>
    <row r="24" spans="1:5" ht="45" customHeight="1" x14ac:dyDescent="0.3">
      <c r="A24" s="7" t="s">
        <v>833</v>
      </c>
      <c r="B24" s="65" t="s">
        <v>834</v>
      </c>
      <c r="C24" s="62"/>
      <c r="D24" s="62"/>
      <c r="E24" s="63"/>
    </row>
    <row r="25" spans="1:5" ht="45" customHeight="1" x14ac:dyDescent="0.3">
      <c r="A25" s="7" t="s">
        <v>835</v>
      </c>
      <c r="B25" s="65" t="s">
        <v>836</v>
      </c>
      <c r="C25" s="62"/>
      <c r="D25" s="62"/>
      <c r="E25" s="63"/>
    </row>
    <row r="26" spans="1:5" ht="45" customHeight="1" x14ac:dyDescent="0.3">
      <c r="A26" s="7" t="s">
        <v>837</v>
      </c>
      <c r="B26" s="65" t="s">
        <v>838</v>
      </c>
      <c r="C26" s="62"/>
      <c r="D26" s="62"/>
      <c r="E26" s="63"/>
    </row>
    <row r="28" spans="1:5" ht="22.05" customHeight="1" x14ac:dyDescent="0.3">
      <c r="A28" s="81" t="s">
        <v>839</v>
      </c>
      <c r="B28" s="68"/>
      <c r="C28" s="68"/>
      <c r="D28" s="68"/>
      <c r="E28" s="68"/>
    </row>
    <row r="29" spans="1:5" ht="45" customHeight="1" x14ac:dyDescent="0.3">
      <c r="A29" s="7" t="s">
        <v>840</v>
      </c>
      <c r="B29" s="65" t="s">
        <v>841</v>
      </c>
      <c r="C29" s="62"/>
      <c r="D29" s="62"/>
      <c r="E29" s="63"/>
    </row>
    <row r="30" spans="1:5" ht="45" customHeight="1" x14ac:dyDescent="0.3">
      <c r="A30" s="7" t="s">
        <v>842</v>
      </c>
      <c r="B30" s="65" t="s">
        <v>843</v>
      </c>
      <c r="C30" s="62"/>
      <c r="D30" s="62"/>
      <c r="E30" s="63"/>
    </row>
    <row r="31" spans="1:5" ht="45" customHeight="1" x14ac:dyDescent="0.3">
      <c r="A31" s="7" t="s">
        <v>844</v>
      </c>
      <c r="B31" s="65" t="s">
        <v>845</v>
      </c>
      <c r="C31" s="62"/>
      <c r="D31" s="62"/>
      <c r="E31" s="63"/>
    </row>
    <row r="32" spans="1:5" ht="45" customHeight="1" x14ac:dyDescent="0.3">
      <c r="A32" s="7" t="s">
        <v>846</v>
      </c>
      <c r="B32" s="65" t="s">
        <v>847</v>
      </c>
      <c r="C32" s="62"/>
      <c r="D32" s="62"/>
      <c r="E32" s="63"/>
    </row>
    <row r="33" spans="1:5" ht="45" customHeight="1" x14ac:dyDescent="0.3">
      <c r="A33" s="7" t="s">
        <v>848</v>
      </c>
      <c r="B33" s="65" t="s">
        <v>849</v>
      </c>
      <c r="C33" s="62"/>
      <c r="D33" s="62"/>
      <c r="E33" s="63"/>
    </row>
    <row r="34" spans="1:5" ht="45" customHeight="1" x14ac:dyDescent="0.3">
      <c r="A34" s="7" t="s">
        <v>850</v>
      </c>
      <c r="B34" s="65" t="s">
        <v>851</v>
      </c>
      <c r="C34" s="62"/>
      <c r="D34" s="62"/>
      <c r="E34" s="63"/>
    </row>
    <row r="36" spans="1:5" ht="22.05" customHeight="1" x14ac:dyDescent="0.3">
      <c r="A36" s="72" t="s">
        <v>852</v>
      </c>
      <c r="B36" s="68"/>
      <c r="C36" s="68"/>
      <c r="D36" s="68"/>
      <c r="E36" s="68"/>
    </row>
    <row r="37" spans="1:5" ht="45" customHeight="1" x14ac:dyDescent="0.3">
      <c r="A37" s="7" t="s">
        <v>853</v>
      </c>
      <c r="B37" s="65" t="s">
        <v>854</v>
      </c>
      <c r="C37" s="62"/>
      <c r="D37" s="62"/>
      <c r="E37" s="63"/>
    </row>
    <row r="38" spans="1:5" ht="45" customHeight="1" x14ac:dyDescent="0.3">
      <c r="A38" s="7" t="s">
        <v>855</v>
      </c>
      <c r="B38" s="65" t="s">
        <v>856</v>
      </c>
      <c r="C38" s="62"/>
      <c r="D38" s="62"/>
      <c r="E38" s="63"/>
    </row>
    <row r="39" spans="1:5" ht="45" customHeight="1" x14ac:dyDescent="0.3">
      <c r="A39" s="7" t="s">
        <v>857</v>
      </c>
      <c r="B39" s="65" t="s">
        <v>858</v>
      </c>
      <c r="C39" s="62"/>
      <c r="D39" s="62"/>
      <c r="E39" s="63"/>
    </row>
    <row r="40" spans="1:5" ht="45" customHeight="1" x14ac:dyDescent="0.3">
      <c r="A40" s="7" t="s">
        <v>859</v>
      </c>
      <c r="B40" s="65" t="s">
        <v>860</v>
      </c>
      <c r="C40" s="62"/>
      <c r="D40" s="62"/>
      <c r="E40" s="63"/>
    </row>
  </sheetData>
  <mergeCells count="35">
    <mergeCell ref="B38:E38"/>
    <mergeCell ref="B29:E29"/>
    <mergeCell ref="B34:E34"/>
    <mergeCell ref="A1:E1"/>
    <mergeCell ref="B24:E24"/>
    <mergeCell ref="B5:E5"/>
    <mergeCell ref="A36:E36"/>
    <mergeCell ref="B32:E32"/>
    <mergeCell ref="B26:E26"/>
    <mergeCell ref="B4:E4"/>
    <mergeCell ref="B16:E16"/>
    <mergeCell ref="B7:E7"/>
    <mergeCell ref="B25:E25"/>
    <mergeCell ref="B22:E22"/>
    <mergeCell ref="A3:E3"/>
    <mergeCell ref="B31:E31"/>
    <mergeCell ref="B18:E18"/>
    <mergeCell ref="B12:E12"/>
    <mergeCell ref="B21:E21"/>
    <mergeCell ref="B40:E40"/>
    <mergeCell ref="B9:E9"/>
    <mergeCell ref="B37:E37"/>
    <mergeCell ref="B6:E6"/>
    <mergeCell ref="B30:E30"/>
    <mergeCell ref="A11:E11"/>
    <mergeCell ref="B15:E15"/>
    <mergeCell ref="B33:E33"/>
    <mergeCell ref="B39:E39"/>
    <mergeCell ref="B14:E14"/>
    <mergeCell ref="B17:E17"/>
    <mergeCell ref="B23:E23"/>
    <mergeCell ref="B8:E8"/>
    <mergeCell ref="A20:E20"/>
    <mergeCell ref="B13:E1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Program Overview</vt:lpstr>
      <vt:lpstr>Tool Hour Allocation</vt:lpstr>
      <vt:lpstr>BA Core – 12 Week Plan</vt:lpstr>
      <vt:lpstr>Day-Wise Sessions (BA Core)</vt:lpstr>
      <vt:lpstr>DA Add-On Track (6–8 Hrs)</vt:lpstr>
      <vt:lpstr>Assignments &amp; Assessments</vt:lpstr>
      <vt:lpstr>Project 1 – MIS Dashboard</vt:lpstr>
      <vt:lpstr>Project 2 – Capstone Project</vt:lpstr>
      <vt:lpstr>Skill Outcome Matrix</vt:lpstr>
      <vt:lpstr>Trainer Notes &amp; 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Vipin Rawat</cp:lastModifiedBy>
  <dcterms:created xsi:type="dcterms:W3CDTF">2026-06-08T09:34:47Z</dcterms:created>
  <dcterms:modified xsi:type="dcterms:W3CDTF">2026-06-08T16:41:52Z</dcterms:modified>
</cp:coreProperties>
</file>